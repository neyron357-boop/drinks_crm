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VC" sheetId="1" r:id="rId5"/>
    <sheet state="visible" name="Bussines Bay" sheetId="2" r:id="rId6"/>
    <sheet state="visible" name="Selicon" sheetId="3" r:id="rId7"/>
    <sheet state="visible" name="Al-Qusais" sheetId="4" r:id="rId8"/>
    <sheet state="visible" name="Tikom" sheetId="5" r:id="rId9"/>
    <sheet state="visible" name="ЗАЯВКА" sheetId="6" r:id="rId10"/>
    <sheet state="visible" name="ДОЛГИ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скидка -100 дирхамов
</t>
      </text>
    </comment>
  </commentList>
</comments>
</file>

<file path=xl/sharedStrings.xml><?xml version="1.0" encoding="utf-8"?>
<sst xmlns="http://schemas.openxmlformats.org/spreadsheetml/2006/main" count="942" uniqueCount="191">
  <si>
    <t>B1 JVC</t>
  </si>
  <si>
    <t>№</t>
  </si>
  <si>
    <t>Наименование товара</t>
  </si>
  <si>
    <t>ЦЕНА</t>
  </si>
  <si>
    <t>НОРМА</t>
  </si>
  <si>
    <t>ОСТАТОК ПРОШЛОГО ДНЯ</t>
  </si>
  <si>
    <t>ПРИХОД</t>
  </si>
  <si>
    <t>ПЕРЕМЕЩЕНИЕ</t>
  </si>
  <si>
    <t>ОСТАТОК ДОМА</t>
  </si>
  <si>
    <t>ПРОДАЖА</t>
  </si>
  <si>
    <t>СУММА</t>
  </si>
  <si>
    <t>ЗАЯВКА</t>
  </si>
  <si>
    <t>Доп к заявке</t>
  </si>
  <si>
    <t>ОСТАТОК ТЕКУЩЕГО ДНЯ</t>
  </si>
  <si>
    <t>ABSOLUT BLUE LTR</t>
  </si>
  <si>
    <t>J/W RED LABEL  1 LTR</t>
  </si>
  <si>
    <t>J/W BLAK LABEL 1 LTR</t>
  </si>
  <si>
    <t>JACK DANIELS LTR</t>
  </si>
  <si>
    <t>CHIVAS REGAL 1 LTR</t>
  </si>
  <si>
    <t>HEINEKEN BEER CANS 33CL</t>
  </si>
  <si>
    <t>BUDWEISER BEER CAN 33/35</t>
  </si>
  <si>
    <t>CARLSBERG 50CL Can</t>
  </si>
  <si>
    <t>RED HORSE 50CL Can</t>
  </si>
  <si>
    <t>AMSTEL LIGHT Slim Can 35</t>
  </si>
  <si>
    <t>CORONA BEER BTL 35.5CL</t>
  </si>
  <si>
    <t>STELLA 33CL BTLS</t>
  </si>
  <si>
    <t>STELLA ARTOIS 33 CL cans</t>
  </si>
  <si>
    <t>HEINEKEN BEER BTL 33CL</t>
  </si>
  <si>
    <t>BUDWEISER BERR BTL 33cl</t>
  </si>
  <si>
    <t>SMIRNOFF ICE RED 27,5CL</t>
  </si>
  <si>
    <t>PERONI NASTRO AZURO BEER</t>
  </si>
  <si>
    <t>JC CHARDONNAY 75CL</t>
  </si>
  <si>
    <t>JC SHIRAZ CABARNET 75CL</t>
  </si>
  <si>
    <t>CES PINOT GRIG D VEN FIO</t>
  </si>
  <si>
    <t>Le GRAND Noir SAUV BLANC</t>
  </si>
  <si>
    <t>Le GRAND Noir MERLOT 75C</t>
  </si>
  <si>
    <t>MIP Collection ROSE Provienc 7</t>
  </si>
  <si>
    <t>CH KSARA SUNSET ROSE 75C</t>
  </si>
  <si>
    <t>MATEUS ROSE 75CL</t>
  </si>
  <si>
    <t>BACARDI WHITE RUM LTR</t>
  </si>
  <si>
    <t>BACARDI BLACK. 1 LTR</t>
  </si>
  <si>
    <t>BACARDI GOLD LTR</t>
  </si>
  <si>
    <t>JOSE CUERVO GOLD LTR</t>
  </si>
  <si>
    <t>JOSE CUERVO SILVER Espec</t>
  </si>
  <si>
    <t>TANQUERAY GIN LTR</t>
  </si>
  <si>
    <t>GORDONS PINK GIN Ltr</t>
  </si>
  <si>
    <t>GORDONS GIN LTR</t>
  </si>
  <si>
    <t>BOMBAY SAPPHIRE GIN LTR</t>
  </si>
  <si>
    <t>HENDRICKS GIN 1 LTR</t>
  </si>
  <si>
    <t>CAPTAIN MORGAN BLK LTR</t>
  </si>
  <si>
    <t>CAPTAIN MORGAN SPICED GO</t>
  </si>
  <si>
    <t>MALIBU WHITHE RUM LTR</t>
  </si>
  <si>
    <t>BAILEYS IRISH CREAM LTR</t>
  </si>
  <si>
    <t>AMARULA CREAM LTR</t>
  </si>
  <si>
    <t>JAMESON IRISH WSK LTR</t>
  </si>
  <si>
    <t>J&amp;B RARE SCOTCH 1 LTR</t>
  </si>
  <si>
    <t>D/H CLARNET SELECT 5LTR</t>
  </si>
  <si>
    <t>D/H PREM GRN CRU 5LTR</t>
  </si>
  <si>
    <t>MARTINI BIANCO 1 LTR</t>
  </si>
  <si>
    <t>SMIRNOFF R/L 1 LTR</t>
  </si>
  <si>
    <t>STOLICHNAYA VODKA LTR</t>
  </si>
  <si>
    <t>RUSSIAN STD. PETERS L</t>
  </si>
  <si>
    <t>JAGERMEISTER  1 LTR</t>
  </si>
  <si>
    <t>BELVEDERE VODKA  LTR</t>
  </si>
  <si>
    <t>GREY GOOSE VODKA LTR</t>
  </si>
  <si>
    <t>BELUGA  NOBLE VODKA 70CL</t>
  </si>
  <si>
    <t xml:space="preserve">CIROK VODKA LTR </t>
  </si>
  <si>
    <t>SKYY VODKA 1 LTR</t>
  </si>
  <si>
    <t>ARAK TOUMA 50/54CL</t>
  </si>
  <si>
    <t>EFE Fresh Grape RAKI LTR Green</t>
  </si>
  <si>
    <t>J/W GOLD LABEL RESERV 1</t>
  </si>
  <si>
    <t>J/W DOUBLE BLACK LTR</t>
  </si>
  <si>
    <t>J/W BLUE LABEL 1 LTR</t>
  </si>
  <si>
    <t>HENNESSY VS LTR</t>
  </si>
  <si>
    <t>HENNESSY V.S.O.P 1 LTR Pr</t>
  </si>
  <si>
    <t>HENNESSY XO LTR</t>
  </si>
  <si>
    <t>REMY MARTIN VSOP LTR</t>
  </si>
  <si>
    <t>CHIVAS 18 YRS LTR</t>
  </si>
  <si>
    <t>ROYAL SALUTE 21 YRS LTR</t>
  </si>
  <si>
    <t>PATRON COFFE</t>
  </si>
  <si>
    <t>PATRON SILVER  75CL TEQUI</t>
  </si>
  <si>
    <t>PATRON ANEJO 75CL GOLD T</t>
  </si>
  <si>
    <t>DON JULIO BLANCO 70/75CL</t>
  </si>
  <si>
    <t>DON JULIO REPOSADO 70/75</t>
  </si>
  <si>
    <t>DON JULIO ANEJO 70/75CL</t>
  </si>
  <si>
    <t>DON JULIO 1942 ANEJO 70</t>
  </si>
  <si>
    <t>ASTI MARTINI 75CL</t>
  </si>
  <si>
    <t>JC CHARDONNAY PINOT NOIR</t>
  </si>
  <si>
    <t>BOTTEGA VINO D POET PROS</t>
  </si>
  <si>
    <t>BOTTEGA ROSE Proseco POE</t>
  </si>
  <si>
    <t>BOTTEGA GOLD BRUT 75C vi</t>
  </si>
  <si>
    <t>VEUVE CLICQUOT Y/L PONSR</t>
  </si>
  <si>
    <t>MOET &amp; CHANDON BRUT IMP</t>
  </si>
  <si>
    <t>MOET &amp; CHANDON  ROSE 75CL</t>
  </si>
  <si>
    <t>MOET ICE IMPERIAL 75cl</t>
  </si>
  <si>
    <t>DOM PERIGNON M&amp;C 75CL</t>
  </si>
  <si>
    <t xml:space="preserve">GLENDFIDICH SPL R12YRS </t>
  </si>
  <si>
    <t>GLENDFIDICH 15 YRS LTR</t>
  </si>
  <si>
    <t>GLENDFIDICH 18Y Smal Bat</t>
  </si>
  <si>
    <t>BARON RIMAPERE SAUV BLAN</t>
  </si>
  <si>
    <t>MARCHESI GAVI D GAVI 75C</t>
  </si>
  <si>
    <t>LAROCHE CHABLIS ST MARTI</t>
  </si>
  <si>
    <t>L J BOURGOGNE BL Cuv D ja</t>
  </si>
  <si>
    <t>CASTEL CH. BARREYRES HAUT M 75</t>
  </si>
  <si>
    <t>CH SAINT LEON BOX SUP 75</t>
  </si>
  <si>
    <t>CAMPO VIEJO RESERVA RIOJ</t>
  </si>
  <si>
    <t>CAMPO VIEJO GRAN RESERVA</t>
  </si>
  <si>
    <t>M MINUTY ROSE PROVENCE</t>
  </si>
  <si>
    <t>Cav D ESCLN WHISPERING</t>
  </si>
  <si>
    <t>JACK DANIELS HONEY LTR</t>
  </si>
  <si>
    <t>BACCARDI BREEZER W/MELON</t>
  </si>
  <si>
    <t>ASAHI BEER BTLS SUPER DR</t>
  </si>
  <si>
    <t>APEROLE Aperitivo LTR</t>
  </si>
  <si>
    <t xml:space="preserve">CHIVAS 25 YRS </t>
  </si>
  <si>
    <t>CLASE AZUL Reposado 70/7</t>
  </si>
  <si>
    <t xml:space="preserve">MS CH PERRON LALANDE D POMEROL </t>
  </si>
  <si>
    <t>LA CELIA RESERVA MALBEC 75CL</t>
  </si>
  <si>
    <t xml:space="preserve">CALVET SANCERRE Les Hautes </t>
  </si>
  <si>
    <t>CHATEAU des LAURETS Saint Emilion</t>
  </si>
  <si>
    <t>GUINNESS BEER CANS 44cl</t>
  </si>
  <si>
    <t>XXL  VODKA MIX ENERGY CAN</t>
  </si>
  <si>
    <t>MONKEY 47  DRY GIN 50CL</t>
  </si>
  <si>
    <t>GENTLEMAN JACK 1 LTR JD</t>
  </si>
  <si>
    <t>MACALLAN 12 YR FIN TRIP</t>
  </si>
  <si>
    <t>MACALLAN 15 YRS Double Ca</t>
  </si>
  <si>
    <t>MACALLAN 18 YRS</t>
  </si>
  <si>
    <t>HOEGARDEN BLANCHE 33CL B</t>
  </si>
  <si>
    <t>TEQUILA ROSE LIQUER 70C S/Bery</t>
  </si>
  <si>
    <t>MALFY Con Ara Blood Orange GIN 70</t>
  </si>
  <si>
    <t>MALFY GIN ROSA 70cl GrapfruitE</t>
  </si>
  <si>
    <t>Drumshanb GUNPODER GIN</t>
  </si>
  <si>
    <t>CH SAINT MAUR L Exelenc ROS 7</t>
  </si>
  <si>
    <t>CH LAGRANGE 2010 St Julien</t>
  </si>
  <si>
    <t>RUINART BLANC D BLANC 75 CL</t>
  </si>
  <si>
    <t>ZONIN PROSECCO 75CL</t>
  </si>
  <si>
    <t xml:space="preserve">OYSTER BAY SAUVIGNON </t>
  </si>
  <si>
    <t>Имя водителя</t>
  </si>
  <si>
    <t>Фаррух</t>
  </si>
  <si>
    <t>Сверка с итогами продаж день (должно быть 0,00)</t>
  </si>
  <si>
    <t>ВЫРУЧКА</t>
  </si>
  <si>
    <t>Расходы на питание</t>
  </si>
  <si>
    <t>Мы вернули  долг</t>
  </si>
  <si>
    <t>Мы должны</t>
  </si>
  <si>
    <t>Клиент вернул долг</t>
  </si>
  <si>
    <t>Клиент взял в долг</t>
  </si>
  <si>
    <t xml:space="preserve">Скидки </t>
  </si>
  <si>
    <t>бензин</t>
  </si>
  <si>
    <t>kfc</t>
  </si>
  <si>
    <t>для дома</t>
  </si>
  <si>
    <t>мойка</t>
  </si>
  <si>
    <t>тонировка</t>
  </si>
  <si>
    <t>доп расходы</t>
  </si>
  <si>
    <t>СДАЛ</t>
  </si>
  <si>
    <t>ДОЛЖЕН СДАТЬ</t>
  </si>
  <si>
    <t>Плюс +/- Недостача</t>
  </si>
  <si>
    <t>ИТОГО ОБЩАЯ Плюс +/- Недостача</t>
  </si>
  <si>
    <t>ИТОГО СУММА ПРОДАЖ</t>
  </si>
  <si>
    <t>ИТОГО СДАЛИ СУММА ДЕНЬ</t>
  </si>
  <si>
    <t>B2 Bussines Bay</t>
  </si>
  <si>
    <t>BALANTINES</t>
  </si>
  <si>
    <t>Баходур</t>
  </si>
  <si>
    <t>Аваз</t>
  </si>
  <si>
    <t>Фахридин</t>
  </si>
  <si>
    <t>др. расходы</t>
  </si>
  <si>
    <t>B3 Silicon Oasis</t>
  </si>
  <si>
    <t>Азиз</t>
  </si>
  <si>
    <t>Фариддун</t>
  </si>
  <si>
    <t>alawin</t>
  </si>
  <si>
    <t>праздник</t>
  </si>
  <si>
    <t>охрана</t>
  </si>
  <si>
    <t>B4 Al Qusais</t>
  </si>
  <si>
    <t>СУНАТ</t>
  </si>
  <si>
    <t>ДОВРОН</t>
  </si>
  <si>
    <t>b11</t>
  </si>
  <si>
    <t>ПРАЗДНИК</t>
  </si>
  <si>
    <t xml:space="preserve"> </t>
  </si>
  <si>
    <t>парковка</t>
  </si>
  <si>
    <t>B5 Tikkom</t>
  </si>
  <si>
    <t>Алишер</t>
  </si>
  <si>
    <t>Файзидин</t>
  </si>
  <si>
    <t>ДОП</t>
  </si>
  <si>
    <t>J</t>
  </si>
  <si>
    <t>B</t>
  </si>
  <si>
    <t>S</t>
  </si>
  <si>
    <t>B1</t>
  </si>
  <si>
    <t>B2</t>
  </si>
  <si>
    <t>B3</t>
  </si>
  <si>
    <t xml:space="preserve">УЧЕТ ЗАДОЛЖЕННОСТЕЙ </t>
  </si>
  <si>
    <t>ИТОГО мы должны</t>
  </si>
  <si>
    <t>ИТОГО нам должны</t>
  </si>
  <si>
    <t>БАЛАНС                                                  (нам должны больше +/- мы должны больше)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</si>
</sst>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0.0"/>
  </numFmts>
  <fonts count="18">
    <font>
      <sz val="11.0"/>
      <color theme="1"/>
      <name val="Calibri"/>
      <scheme val="minor"/>
    </font>
    <font>
      <b/>
      <sz val="20.0"/>
      <color theme="1"/>
      <name val="Calibri"/>
    </font>
    <font/>
    <font>
      <b/>
      <sz val="16.0"/>
      <color theme="1"/>
      <name val="Calibri"/>
    </font>
    <font>
      <b/>
      <sz val="16.0"/>
      <color rgb="FFFF0000"/>
      <name val="Calibri"/>
    </font>
    <font>
      <sz val="11.0"/>
      <color theme="1"/>
      <name val="Calibri"/>
    </font>
    <font>
      <sz val="16.0"/>
      <color theme="1"/>
      <name val="Calibri"/>
    </font>
    <font>
      <sz val="16.0"/>
      <color rgb="FFFF0000"/>
      <name val="Calibri"/>
    </font>
    <font>
      <color theme="1"/>
      <name val="Calibri"/>
      <scheme val="minor"/>
    </font>
    <font>
      <sz val="16.0"/>
      <color rgb="FF006100"/>
      <name val="Calibri"/>
    </font>
    <font>
      <b/>
      <sz val="20.0"/>
      <color rgb="FFFF0000"/>
      <name val="Calibri"/>
    </font>
    <font>
      <sz val="8.0"/>
      <color theme="1"/>
      <name val="Calibri"/>
    </font>
    <font>
      <b/>
      <sz val="8.0"/>
      <color theme="1"/>
      <name val="Calibri"/>
    </font>
    <font>
      <b/>
      <sz val="14.0"/>
      <color theme="1"/>
      <name val="Calibri"/>
    </font>
    <font>
      <b/>
      <i/>
      <sz val="14.0"/>
      <color theme="1"/>
      <name val="Calibri"/>
    </font>
    <font>
      <b/>
      <sz val="18.0"/>
      <color rgb="FFFF0000"/>
      <name val="Calibri"/>
    </font>
    <font>
      <sz val="20.0"/>
      <color theme="1"/>
      <name val="Calibri"/>
    </font>
    <font>
      <sz val="20.0"/>
      <color rgb="FFFF0000"/>
      <name val="Calibri"/>
    </font>
  </fonts>
  <fills count="12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D6DCE4"/>
        <bgColor rgb="FFD6DCE4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E7E6E6"/>
        <bgColor rgb="FFE7E6E6"/>
      </patternFill>
    </fill>
    <fill>
      <patternFill patternType="solid">
        <fgColor rgb="FFAEABAB"/>
        <bgColor rgb="FFAEABAB"/>
      </patternFill>
    </fill>
    <fill>
      <patternFill patternType="solid">
        <fgColor rgb="FFF4B083"/>
        <bgColor rgb="FFF4B083"/>
      </patternFill>
    </fill>
    <fill>
      <patternFill patternType="solid">
        <fgColor rgb="FFDEEAF6"/>
        <bgColor rgb="FFDEEAF6"/>
      </patternFill>
    </fill>
  </fills>
  <borders count="44">
    <border/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Border="1" applyFont="1"/>
    <xf borderId="2" fillId="0" fontId="2" numFmtId="0" xfId="0" applyBorder="1" applyFont="1"/>
    <xf borderId="2" fillId="2" fontId="1" numFmtId="0" xfId="0" applyAlignment="1" applyBorder="1" applyFont="1">
      <alignment horizontal="center"/>
    </xf>
    <xf borderId="3" fillId="2" fontId="1" numFmtId="164" xfId="0" applyAlignment="1" applyBorder="1" applyFont="1" applyNumberForma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6" fillId="3" fontId="3" numFmtId="0" xfId="0" applyAlignment="1" applyBorder="1" applyFill="1" applyFont="1">
      <alignment horizontal="center" vertical="top"/>
    </xf>
    <xf borderId="7" fillId="3" fontId="3" numFmtId="0" xfId="0" applyAlignment="1" applyBorder="1" applyFont="1">
      <alignment horizontal="center" vertical="top"/>
    </xf>
    <xf borderId="7" fillId="4" fontId="3" numFmtId="0" xfId="0" applyAlignment="1" applyBorder="1" applyFill="1" applyFont="1">
      <alignment horizontal="center" vertical="top"/>
    </xf>
    <xf borderId="7" fillId="5" fontId="3" numFmtId="0" xfId="0" applyAlignment="1" applyBorder="1" applyFill="1" applyFont="1">
      <alignment horizontal="center" shrinkToFit="0" vertical="top" wrapText="1"/>
    </xf>
    <xf borderId="8" fillId="5" fontId="3" numFmtId="0" xfId="0" applyAlignment="1" applyBorder="1" applyFont="1">
      <alignment horizontal="center" vertical="top"/>
    </xf>
    <xf borderId="9" fillId="5" fontId="3" numFmtId="0" xfId="0" applyAlignment="1" applyBorder="1" applyFont="1">
      <alignment horizontal="center" vertical="top"/>
    </xf>
    <xf borderId="9" fillId="3" fontId="3" numFmtId="0" xfId="0" applyAlignment="1" applyBorder="1" applyFont="1">
      <alignment horizontal="center" vertical="top"/>
    </xf>
    <xf borderId="10" fillId="5" fontId="3" numFmtId="0" xfId="0" applyAlignment="1" applyBorder="1" applyFont="1">
      <alignment horizontal="center" vertical="top"/>
    </xf>
    <xf borderId="11" fillId="6" fontId="3" numFmtId="0" xfId="0" applyAlignment="1" applyBorder="1" applyFill="1" applyFont="1">
      <alignment horizontal="center" shrinkToFit="0" vertical="top" wrapText="1"/>
    </xf>
    <xf borderId="12" fillId="0" fontId="3" numFmtId="0" xfId="0" applyAlignment="1" applyBorder="1" applyFont="1">
      <alignment horizontal="center"/>
    </xf>
    <xf borderId="13" fillId="0" fontId="3" numFmtId="0" xfId="0" applyAlignment="1" applyBorder="1" applyFont="1">
      <alignment horizontal="center"/>
    </xf>
    <xf borderId="14" fillId="0" fontId="3" numFmtId="0" xfId="0" applyAlignment="1" applyBorder="1" applyFont="1">
      <alignment horizontal="center"/>
    </xf>
    <xf borderId="13" fillId="0" fontId="3" numFmtId="1" xfId="0" applyAlignment="1" applyBorder="1" applyFont="1" applyNumberFormat="1">
      <alignment horizontal="center"/>
    </xf>
    <xf borderId="13" fillId="0" fontId="3" numFmtId="1" xfId="0" applyAlignment="1" applyBorder="1" applyFont="1" applyNumberFormat="1">
      <alignment horizontal="center" vertical="bottom"/>
    </xf>
    <xf borderId="13" fillId="0" fontId="3" numFmtId="1" xfId="0" applyAlignment="1" applyBorder="1" applyFont="1" applyNumberFormat="1">
      <alignment horizontal="center" readingOrder="0"/>
    </xf>
    <xf borderId="13" fillId="0" fontId="4" numFmtId="1" xfId="0" applyAlignment="1" applyBorder="1" applyFont="1" applyNumberFormat="1">
      <alignment horizontal="center" vertical="bottom"/>
    </xf>
    <xf borderId="13" fillId="0" fontId="4" numFmtId="4" xfId="0" applyAlignment="1" applyBorder="1" applyFont="1" applyNumberFormat="1">
      <alignment horizontal="center"/>
    </xf>
    <xf borderId="13" fillId="0" fontId="4" numFmtId="1" xfId="0" applyAlignment="1" applyBorder="1" applyFont="1" applyNumberFormat="1">
      <alignment horizontal="center"/>
    </xf>
    <xf borderId="13" fillId="6" fontId="4" numFmtId="1" xfId="0" applyAlignment="1" applyBorder="1" applyFont="1" applyNumberFormat="1">
      <alignment horizontal="center"/>
    </xf>
    <xf borderId="12" fillId="7" fontId="3" numFmtId="0" xfId="0" applyAlignment="1" applyBorder="1" applyFill="1" applyFont="1">
      <alignment horizontal="center"/>
    </xf>
    <xf borderId="15" fillId="7" fontId="3" numFmtId="0" xfId="0" applyAlignment="1" applyBorder="1" applyFont="1">
      <alignment horizontal="center"/>
    </xf>
    <xf borderId="16" fillId="7" fontId="3" numFmtId="0" xfId="0" applyAlignment="1" applyBorder="1" applyFont="1">
      <alignment horizontal="center"/>
    </xf>
    <xf borderId="15" fillId="8" fontId="3" numFmtId="1" xfId="0" applyAlignment="1" applyBorder="1" applyFill="1" applyFont="1" applyNumberFormat="1">
      <alignment horizontal="center"/>
    </xf>
    <xf borderId="15" fillId="8" fontId="3" numFmtId="1" xfId="0" applyAlignment="1" applyBorder="1" applyFont="1" applyNumberFormat="1">
      <alignment horizontal="center" vertical="bottom"/>
    </xf>
    <xf borderId="15" fillId="8" fontId="3" numFmtId="1" xfId="0" applyAlignment="1" applyBorder="1" applyFont="1" applyNumberFormat="1">
      <alignment horizontal="center" readingOrder="0"/>
    </xf>
    <xf borderId="13" fillId="8" fontId="4" numFmtId="1" xfId="0" applyAlignment="1" applyBorder="1" applyFont="1" applyNumberFormat="1">
      <alignment horizontal="center" vertical="bottom"/>
    </xf>
    <xf borderId="13" fillId="8" fontId="4" numFmtId="4" xfId="0" applyAlignment="1" applyBorder="1" applyFont="1" applyNumberFormat="1">
      <alignment horizontal="center"/>
    </xf>
    <xf borderId="13" fillId="8" fontId="4" numFmtId="1" xfId="0" applyAlignment="1" applyBorder="1" applyFont="1" applyNumberFormat="1">
      <alignment horizontal="center"/>
    </xf>
    <xf borderId="15" fillId="8" fontId="4" numFmtId="1" xfId="0" applyAlignment="1" applyBorder="1" applyFont="1" applyNumberFormat="1">
      <alignment horizontal="center"/>
    </xf>
    <xf borderId="15" fillId="0" fontId="3" numFmtId="0" xfId="0" applyAlignment="1" applyBorder="1" applyFont="1">
      <alignment horizontal="center"/>
    </xf>
    <xf borderId="16" fillId="0" fontId="3" numFmtId="0" xfId="0" applyAlignment="1" applyBorder="1" applyFont="1">
      <alignment horizontal="center"/>
    </xf>
    <xf borderId="15" fillId="0" fontId="3" numFmtId="1" xfId="0" applyAlignment="1" applyBorder="1" applyFont="1" applyNumberFormat="1">
      <alignment horizontal="center"/>
    </xf>
    <xf borderId="15" fillId="0" fontId="3" numFmtId="1" xfId="0" applyAlignment="1" applyBorder="1" applyFont="1" applyNumberFormat="1">
      <alignment horizontal="center" vertical="bottom"/>
    </xf>
    <xf borderId="15" fillId="0" fontId="3" numFmtId="1" xfId="0" applyAlignment="1" applyBorder="1" applyFont="1" applyNumberFormat="1">
      <alignment horizontal="center" readingOrder="0"/>
    </xf>
    <xf borderId="15" fillId="6" fontId="4" numFmtId="1" xfId="0" applyAlignment="1" applyBorder="1" applyFont="1" applyNumberFormat="1">
      <alignment horizontal="center"/>
    </xf>
    <xf borderId="15" fillId="8" fontId="3" numFmtId="165" xfId="0" applyAlignment="1" applyBorder="1" applyFont="1" applyNumberFormat="1">
      <alignment horizontal="center"/>
    </xf>
    <xf borderId="15" fillId="8" fontId="3" numFmtId="165" xfId="0" applyAlignment="1" applyBorder="1" applyFont="1" applyNumberFormat="1">
      <alignment horizontal="center" vertical="bottom"/>
    </xf>
    <xf borderId="15" fillId="8" fontId="3" numFmtId="165" xfId="0" applyAlignment="1" applyBorder="1" applyFont="1" applyNumberFormat="1">
      <alignment horizontal="center" readingOrder="0"/>
    </xf>
    <xf borderId="15" fillId="8" fontId="4" numFmtId="165" xfId="0" applyAlignment="1" applyBorder="1" applyFont="1" applyNumberFormat="1">
      <alignment horizontal="center"/>
    </xf>
    <xf borderId="15" fillId="0" fontId="3" numFmtId="165" xfId="0" applyAlignment="1" applyBorder="1" applyFont="1" applyNumberFormat="1">
      <alignment horizontal="center"/>
    </xf>
    <xf borderId="15" fillId="0" fontId="3" numFmtId="165" xfId="0" applyAlignment="1" applyBorder="1" applyFont="1" applyNumberFormat="1">
      <alignment horizontal="center" vertical="bottom"/>
    </xf>
    <xf borderId="15" fillId="0" fontId="3" numFmtId="165" xfId="0" applyAlignment="1" applyBorder="1" applyFont="1" applyNumberFormat="1">
      <alignment horizontal="center" readingOrder="0"/>
    </xf>
    <xf borderId="15" fillId="6" fontId="4" numFmtId="165" xfId="0" applyAlignment="1" applyBorder="1" applyFont="1" applyNumberFormat="1">
      <alignment horizontal="center"/>
    </xf>
    <xf borderId="15" fillId="0" fontId="5" numFmtId="165" xfId="0" applyAlignment="1" applyBorder="1" applyFont="1" applyNumberFormat="1">
      <alignment vertical="bottom"/>
    </xf>
    <xf borderId="15" fillId="8" fontId="5" numFmtId="165" xfId="0" applyAlignment="1" applyBorder="1" applyFont="1" applyNumberFormat="1">
      <alignment vertical="bottom"/>
    </xf>
    <xf borderId="15" fillId="8" fontId="3" numFmtId="165" xfId="0" applyAlignment="1" applyBorder="1" applyFont="1" applyNumberFormat="1">
      <alignment horizontal="center" readingOrder="0" vertical="bottom"/>
    </xf>
    <xf borderId="15" fillId="0" fontId="5" numFmtId="1" xfId="0" applyAlignment="1" applyBorder="1" applyFont="1" applyNumberFormat="1">
      <alignment vertical="bottom"/>
    </xf>
    <xf borderId="15" fillId="8" fontId="5" numFmtId="1" xfId="0" applyAlignment="1" applyBorder="1" applyFont="1" applyNumberFormat="1">
      <alignment vertical="bottom"/>
    </xf>
    <xf borderId="12" fillId="8" fontId="3" numFmtId="0" xfId="0" applyAlignment="1" applyBorder="1" applyFont="1">
      <alignment horizontal="center"/>
    </xf>
    <xf borderId="15" fillId="8" fontId="3" numFmtId="0" xfId="0" applyAlignment="1" applyBorder="1" applyFont="1">
      <alignment horizontal="center"/>
    </xf>
    <xf borderId="16" fillId="8" fontId="3" numFmtId="0" xfId="0" applyAlignment="1" applyBorder="1" applyFont="1">
      <alignment horizontal="center"/>
    </xf>
    <xf borderId="12" fillId="9" fontId="3" numFmtId="0" xfId="0" applyAlignment="1" applyBorder="1" applyFill="1" applyFont="1">
      <alignment horizontal="center"/>
    </xf>
    <xf borderId="15" fillId="9" fontId="3" numFmtId="0" xfId="0" applyAlignment="1" applyBorder="1" applyFont="1">
      <alignment horizontal="center"/>
    </xf>
    <xf borderId="16" fillId="9" fontId="3" numFmtId="0" xfId="0" applyAlignment="1" applyBorder="1" applyFont="1">
      <alignment horizontal="center"/>
    </xf>
    <xf borderId="15" fillId="9" fontId="3" numFmtId="1" xfId="0" applyAlignment="1" applyBorder="1" applyFont="1" applyNumberFormat="1">
      <alignment horizontal="center"/>
    </xf>
    <xf borderId="15" fillId="9" fontId="3" numFmtId="1" xfId="0" applyAlignment="1" applyBorder="1" applyFont="1" applyNumberFormat="1">
      <alignment horizontal="center" vertical="bottom"/>
    </xf>
    <xf borderId="15" fillId="9" fontId="5" numFmtId="1" xfId="0" applyAlignment="1" applyBorder="1" applyFont="1" applyNumberFormat="1">
      <alignment vertical="bottom"/>
    </xf>
    <xf borderId="15" fillId="9" fontId="3" numFmtId="1" xfId="0" applyAlignment="1" applyBorder="1" applyFont="1" applyNumberFormat="1">
      <alignment horizontal="center" readingOrder="0"/>
    </xf>
    <xf borderId="13" fillId="9" fontId="4" numFmtId="1" xfId="0" applyAlignment="1" applyBorder="1" applyFont="1" applyNumberFormat="1">
      <alignment horizontal="center" vertical="bottom"/>
    </xf>
    <xf borderId="13" fillId="9" fontId="4" numFmtId="4" xfId="0" applyAlignment="1" applyBorder="1" applyFont="1" applyNumberFormat="1">
      <alignment horizontal="center"/>
    </xf>
    <xf borderId="13" fillId="9" fontId="4" numFmtId="1" xfId="0" applyAlignment="1" applyBorder="1" applyFont="1" applyNumberFormat="1">
      <alignment horizontal="center"/>
    </xf>
    <xf borderId="15" fillId="9" fontId="4" numFmtId="1" xfId="0" applyAlignment="1" applyBorder="1" applyFont="1" applyNumberFormat="1">
      <alignment horizontal="center"/>
    </xf>
    <xf borderId="15" fillId="0" fontId="3" numFmtId="1" xfId="0" applyAlignment="1" applyBorder="1" applyFont="1" applyNumberFormat="1">
      <alignment horizontal="center" readingOrder="0" vertical="bottom"/>
    </xf>
    <xf borderId="15" fillId="8" fontId="3" numFmtId="0" xfId="0" applyAlignment="1" applyBorder="1" applyFont="1">
      <alignment horizontal="center" shrinkToFit="0" wrapText="1"/>
    </xf>
    <xf borderId="16" fillId="0" fontId="3" numFmtId="1" xfId="0" applyAlignment="1" applyBorder="1" applyFont="1" applyNumberFormat="1">
      <alignment horizontal="center"/>
    </xf>
    <xf borderId="17" fillId="0" fontId="4" numFmtId="4" xfId="0" applyAlignment="1" applyBorder="1" applyFont="1" applyNumberFormat="1">
      <alignment horizontal="center"/>
    </xf>
    <xf borderId="0" fillId="0" fontId="5" numFmtId="0" xfId="0" applyAlignment="1" applyFont="1">
      <alignment horizontal="center"/>
    </xf>
    <xf borderId="18" fillId="6" fontId="4" numFmtId="4" xfId="0" applyAlignment="1" applyBorder="1" applyFont="1" applyNumberFormat="1">
      <alignment horizontal="center"/>
    </xf>
    <xf borderId="3" fillId="10" fontId="3" numFmtId="0" xfId="0" applyAlignment="1" applyBorder="1" applyFill="1" applyFont="1">
      <alignment horizontal="center" vertical="center"/>
    </xf>
    <xf borderId="19" fillId="0" fontId="2" numFmtId="0" xfId="0" applyBorder="1" applyFont="1"/>
    <xf borderId="19" fillId="10" fontId="3" numFmtId="0" xfId="0" applyAlignment="1" applyBorder="1" applyFont="1">
      <alignment horizontal="center" vertical="center"/>
    </xf>
    <xf borderId="7" fillId="10" fontId="3" numFmtId="0" xfId="0" applyAlignment="1" applyBorder="1" applyFont="1">
      <alignment horizontal="center" vertical="center"/>
    </xf>
    <xf borderId="11" fillId="10" fontId="3" numFmtId="0" xfId="0" applyAlignment="1" applyBorder="1" applyFont="1">
      <alignment horizontal="center" vertical="center"/>
    </xf>
    <xf borderId="20" fillId="6" fontId="4" numFmtId="0" xfId="0" applyAlignment="1" applyBorder="1" applyFont="1">
      <alignment horizontal="center" shrinkToFit="0" wrapText="1"/>
    </xf>
    <xf borderId="21" fillId="5" fontId="3" numFmtId="0" xfId="0" applyAlignment="1" applyBorder="1" applyFont="1">
      <alignment horizontal="left"/>
    </xf>
    <xf borderId="22" fillId="0" fontId="2" numFmtId="0" xfId="0" applyBorder="1" applyFont="1"/>
    <xf borderId="22" fillId="0" fontId="6" numFmtId="4" xfId="0" applyBorder="1" applyFont="1" applyNumberFormat="1"/>
    <xf borderId="15" fillId="0" fontId="6" numFmtId="4" xfId="0" applyAlignment="1" applyBorder="1" applyFont="1" applyNumberFormat="1">
      <alignment readingOrder="0"/>
    </xf>
    <xf borderId="23" fillId="0" fontId="6" numFmtId="4" xfId="0" applyBorder="1" applyFont="1" applyNumberFormat="1"/>
    <xf borderId="24" fillId="0" fontId="6" numFmtId="4" xfId="0" applyBorder="1" applyFont="1" applyNumberFormat="1"/>
    <xf borderId="5" fillId="0" fontId="7" numFmtId="4" xfId="0" applyAlignment="1" applyBorder="1" applyFont="1" applyNumberFormat="1">
      <alignment horizontal="center"/>
    </xf>
    <xf borderId="25" fillId="5" fontId="6" numFmtId="0" xfId="0" applyAlignment="1" applyBorder="1" applyFont="1">
      <alignment horizontal="left"/>
    </xf>
    <xf borderId="18" fillId="0" fontId="2" numFmtId="0" xfId="0" applyBorder="1" applyFont="1"/>
    <xf borderId="18" fillId="0" fontId="6" numFmtId="4" xfId="0" applyBorder="1" applyFont="1" applyNumberFormat="1"/>
    <xf borderId="0" fillId="0" fontId="8" numFmtId="0" xfId="0" applyAlignment="1" applyFont="1">
      <alignment readingOrder="0"/>
    </xf>
    <xf borderId="15" fillId="0" fontId="6" numFmtId="4" xfId="0" applyBorder="1" applyFont="1" applyNumberFormat="1"/>
    <xf borderId="26" fillId="0" fontId="6" numFmtId="4" xfId="0" applyBorder="1" applyFont="1" applyNumberFormat="1"/>
    <xf borderId="0" fillId="0" fontId="6" numFmtId="4" xfId="0" applyFont="1" applyNumberFormat="1"/>
    <xf borderId="27" fillId="0" fontId="2" numFmtId="0" xfId="0" applyBorder="1" applyFont="1"/>
    <xf borderId="27" fillId="5" fontId="6" numFmtId="0" xfId="0" applyAlignment="1" applyBorder="1" applyFont="1">
      <alignment horizontal="left"/>
    </xf>
    <xf borderId="28" fillId="5" fontId="6" numFmtId="0" xfId="0" applyAlignment="1" applyBorder="1" applyFont="1">
      <alignment horizontal="left"/>
    </xf>
    <xf borderId="29" fillId="5" fontId="3" numFmtId="0" xfId="0" applyAlignment="1" applyBorder="1" applyFont="1">
      <alignment horizontal="left"/>
    </xf>
    <xf borderId="30" fillId="0" fontId="2" numFmtId="0" xfId="0" applyBorder="1" applyFont="1"/>
    <xf borderId="31" fillId="0" fontId="6" numFmtId="4" xfId="0" applyBorder="1" applyFont="1" applyNumberFormat="1"/>
    <xf borderId="32" fillId="0" fontId="6" numFmtId="4" xfId="0" applyAlignment="1" applyBorder="1" applyFont="1" applyNumberFormat="1">
      <alignment readingOrder="0"/>
    </xf>
    <xf borderId="32" fillId="0" fontId="6" numFmtId="4" xfId="0" applyBorder="1" applyFont="1" applyNumberFormat="1"/>
    <xf borderId="33" fillId="0" fontId="6" numFmtId="4" xfId="0" applyBorder="1" applyFont="1" applyNumberFormat="1"/>
    <xf borderId="21" fillId="6" fontId="4" numFmtId="0" xfId="0" applyAlignment="1" applyBorder="1" applyFont="1">
      <alignment horizontal="left"/>
    </xf>
    <xf borderId="23" fillId="6" fontId="4" numFmtId="4" xfId="0" applyBorder="1" applyFont="1" applyNumberFormat="1"/>
    <xf borderId="29" fillId="6" fontId="4" numFmtId="0" xfId="0" applyAlignment="1" applyBorder="1" applyFont="1">
      <alignment horizontal="left"/>
    </xf>
    <xf borderId="34" fillId="0" fontId="2" numFmtId="0" xfId="0" applyBorder="1" applyFont="1"/>
    <xf borderId="35" fillId="6" fontId="4" numFmtId="4" xfId="0" applyBorder="1" applyFont="1" applyNumberFormat="1"/>
    <xf borderId="36" fillId="6" fontId="4" numFmtId="4" xfId="0" applyBorder="1" applyFont="1" applyNumberFormat="1"/>
    <xf borderId="0" fillId="0" fontId="4" numFmtId="4" xfId="0" applyFont="1" applyNumberFormat="1"/>
    <xf borderId="0" fillId="0" fontId="6" numFmtId="0" xfId="0" applyAlignment="1" applyFont="1">
      <alignment horizontal="center"/>
    </xf>
    <xf borderId="0" fillId="0" fontId="6" numFmtId="0" xfId="0" applyFont="1"/>
    <xf borderId="0" fillId="0" fontId="9" numFmtId="0" xfId="0" applyFont="1"/>
    <xf borderId="3" fillId="6" fontId="4" numFmtId="0" xfId="0" applyAlignment="1" applyBorder="1" applyFont="1">
      <alignment horizontal="left"/>
    </xf>
    <xf borderId="5" fillId="6" fontId="4" numFmtId="4" xfId="0" applyBorder="1" applyFont="1" applyNumberFormat="1"/>
    <xf borderId="0" fillId="0" fontId="7" numFmtId="0" xfId="0" applyFont="1"/>
    <xf borderId="0" fillId="0" fontId="9" numFmtId="0" xfId="0" applyAlignment="1" applyFont="1">
      <alignment horizontal="center"/>
    </xf>
    <xf borderId="3" fillId="6" fontId="10" numFmtId="0" xfId="0" applyBorder="1" applyFont="1"/>
    <xf borderId="20" fillId="6" fontId="10" numFmtId="4" xfId="0" applyBorder="1" applyFont="1" applyNumberFormat="1"/>
    <xf borderId="37" fillId="6" fontId="10" numFmtId="0" xfId="0" applyBorder="1" applyFont="1"/>
    <xf borderId="38" fillId="0" fontId="2" numFmtId="0" xfId="0" applyBorder="1" applyFont="1"/>
    <xf borderId="15" fillId="7" fontId="3" numFmtId="1" xfId="0" applyAlignment="1" applyBorder="1" applyFont="1" applyNumberFormat="1">
      <alignment horizontal="center" vertical="bottom"/>
    </xf>
    <xf borderId="15" fillId="7" fontId="3" numFmtId="1" xfId="0" applyAlignment="1" applyBorder="1" applyFont="1" applyNumberFormat="1">
      <alignment horizontal="center"/>
    </xf>
    <xf borderId="15" fillId="7" fontId="3" numFmtId="1" xfId="0" applyAlignment="1" applyBorder="1" applyFont="1" applyNumberFormat="1">
      <alignment horizontal="center" readingOrder="0"/>
    </xf>
    <xf borderId="13" fillId="7" fontId="4" numFmtId="4" xfId="0" applyAlignment="1" applyBorder="1" applyFont="1" applyNumberFormat="1">
      <alignment horizontal="center"/>
    </xf>
    <xf borderId="13" fillId="7" fontId="4" numFmtId="1" xfId="0" applyAlignment="1" applyBorder="1" applyFont="1" applyNumberFormat="1">
      <alignment horizontal="center"/>
    </xf>
    <xf borderId="15" fillId="7" fontId="4" numFmtId="1" xfId="0" applyAlignment="1" applyBorder="1" applyFont="1" applyNumberFormat="1">
      <alignment horizontal="center"/>
    </xf>
    <xf borderId="15" fillId="7" fontId="3" numFmtId="165" xfId="0" applyAlignment="1" applyBorder="1" applyFont="1" applyNumberFormat="1">
      <alignment horizontal="center" vertical="bottom"/>
    </xf>
    <xf borderId="15" fillId="7" fontId="3" numFmtId="165" xfId="0" applyAlignment="1" applyBorder="1" applyFont="1" applyNumberFormat="1">
      <alignment horizontal="center"/>
    </xf>
    <xf borderId="15" fillId="7" fontId="3" numFmtId="165" xfId="0" applyAlignment="1" applyBorder="1" applyFont="1" applyNumberFormat="1">
      <alignment horizontal="center" readingOrder="0"/>
    </xf>
    <xf borderId="15" fillId="7" fontId="4" numFmtId="165" xfId="0" applyAlignment="1" applyBorder="1" applyFont="1" applyNumberFormat="1">
      <alignment horizontal="center"/>
    </xf>
    <xf borderId="15" fillId="7" fontId="5" numFmtId="165" xfId="0" applyAlignment="1" applyBorder="1" applyFont="1" applyNumberFormat="1">
      <alignment vertical="bottom"/>
    </xf>
    <xf borderId="15" fillId="7" fontId="5" numFmtId="1" xfId="0" applyAlignment="1" applyBorder="1" applyFont="1" applyNumberFormat="1">
      <alignment vertical="bottom"/>
    </xf>
    <xf borderId="15" fillId="0" fontId="3" numFmtId="165" xfId="0" applyAlignment="1" applyBorder="1" applyFont="1" applyNumberFormat="1">
      <alignment horizontal="center" readingOrder="0" vertical="bottom"/>
    </xf>
    <xf borderId="32" fillId="8" fontId="3" numFmtId="1" xfId="0" applyAlignment="1" applyBorder="1" applyFont="1" applyNumberFormat="1">
      <alignment horizontal="center" vertical="bottom"/>
    </xf>
    <xf borderId="32" fillId="8" fontId="3" numFmtId="1" xfId="0" applyAlignment="1" applyBorder="1" applyFont="1" applyNumberFormat="1">
      <alignment horizontal="center"/>
    </xf>
    <xf borderId="23" fillId="0" fontId="6" numFmtId="4" xfId="0" applyAlignment="1" applyBorder="1" applyFont="1" applyNumberFormat="1">
      <alignment readingOrder="0"/>
    </xf>
    <xf borderId="25" fillId="5" fontId="6" numFmtId="0" xfId="0" applyAlignment="1" applyBorder="1" applyFont="1">
      <alignment horizontal="center"/>
    </xf>
    <xf borderId="27" fillId="5" fontId="6" numFmtId="0" xfId="0" applyBorder="1" applyFont="1"/>
    <xf borderId="0" fillId="0" fontId="3" numFmtId="0" xfId="0" applyAlignment="1" applyFont="1">
      <alignment horizontal="center"/>
    </xf>
    <xf borderId="0" fillId="0" fontId="3" numFmtId="1" xfId="0" applyAlignment="1" applyFont="1" applyNumberFormat="1">
      <alignment horizontal="center"/>
    </xf>
    <xf borderId="31" fillId="0" fontId="4" numFmtId="165" xfId="0" applyAlignment="1" applyBorder="1" applyFont="1" applyNumberFormat="1">
      <alignment horizontal="center"/>
    </xf>
    <xf borderId="0" fillId="0" fontId="4" numFmtId="1" xfId="0" applyAlignment="1" applyFont="1" applyNumberFormat="1">
      <alignment horizontal="center"/>
    </xf>
    <xf borderId="0" fillId="0" fontId="4" numFmtId="4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18" fillId="0" fontId="6" numFmtId="4" xfId="0" applyAlignment="1" applyBorder="1" applyFont="1" applyNumberFormat="1">
      <alignment readingOrder="0"/>
    </xf>
    <xf borderId="15" fillId="7" fontId="3" numFmtId="0" xfId="0" applyAlignment="1" applyBorder="1" applyFont="1">
      <alignment horizontal="center" vertical="bottom"/>
    </xf>
    <xf borderId="15" fillId="7" fontId="3" numFmtId="0" xfId="0" applyAlignment="1" applyBorder="1" applyFont="1">
      <alignment horizontal="center" readingOrder="0"/>
    </xf>
    <xf borderId="13" fillId="0" fontId="3" numFmtId="1" xfId="0" applyAlignment="1" applyBorder="1" applyFont="1" applyNumberFormat="1">
      <alignment horizontal="center" readingOrder="0" vertical="bottom"/>
    </xf>
    <xf borderId="15" fillId="7" fontId="3" numFmtId="1" xfId="0" applyAlignment="1" applyBorder="1" applyFont="1" applyNumberFormat="1">
      <alignment horizontal="center" readingOrder="0" vertical="bottom"/>
    </xf>
    <xf borderId="15" fillId="7" fontId="3" numFmtId="165" xfId="0" applyAlignment="1" applyBorder="1" applyFont="1" applyNumberFormat="1">
      <alignment horizontal="center" readingOrder="0" vertical="bottom"/>
    </xf>
    <xf borderId="13" fillId="7" fontId="4" numFmtId="4" xfId="0" applyAlignment="1" applyBorder="1" applyFont="1" applyNumberFormat="1">
      <alignment horizontal="center" readingOrder="0"/>
    </xf>
    <xf borderId="15" fillId="8" fontId="3" numFmtId="1" xfId="0" applyAlignment="1" applyBorder="1" applyFont="1" applyNumberFormat="1">
      <alignment horizontal="center" readingOrder="0" vertical="bottom"/>
    </xf>
    <xf borderId="15" fillId="0" fontId="5" numFmtId="1" xfId="0" applyAlignment="1" applyBorder="1" applyFont="1" applyNumberFormat="1">
      <alignment readingOrder="0" vertical="bottom"/>
    </xf>
    <xf borderId="39" fillId="11" fontId="11" numFmtId="0" xfId="0" applyBorder="1" applyFill="1" applyFont="1"/>
    <xf borderId="23" fillId="11" fontId="5" numFmtId="0" xfId="0" applyAlignment="1" applyBorder="1" applyFont="1">
      <alignment horizontal="center"/>
    </xf>
    <xf borderId="24" fillId="11" fontId="5" numFmtId="0" xfId="0" applyAlignment="1" applyBorder="1" applyFont="1">
      <alignment horizontal="center"/>
    </xf>
    <xf borderId="40" fillId="11" fontId="12" numFmtId="164" xfId="0" applyAlignment="1" applyBorder="1" applyFont="1" applyNumberFormat="1">
      <alignment horizontal="center"/>
    </xf>
    <xf borderId="15" fillId="0" fontId="13" numFmtId="164" xfId="0" applyAlignment="1" applyBorder="1" applyFont="1" applyNumberFormat="1">
      <alignment horizontal="center"/>
    </xf>
    <xf borderId="15" fillId="11" fontId="14" numFmtId="164" xfId="0" applyAlignment="1" applyBorder="1" applyFont="1" applyNumberFormat="1">
      <alignment horizontal="center"/>
    </xf>
    <xf borderId="15" fillId="11" fontId="13" numFmtId="0" xfId="0" applyAlignment="1" applyBorder="1" applyFont="1">
      <alignment horizontal="center"/>
    </xf>
    <xf borderId="15" fillId="0" fontId="13" numFmtId="0" xfId="0" applyAlignment="1" applyBorder="1" applyFont="1">
      <alignment horizontal="center"/>
    </xf>
    <xf borderId="15" fillId="11" fontId="13" numFmtId="164" xfId="0" applyAlignment="1" applyBorder="1" applyFont="1" applyNumberFormat="1">
      <alignment horizontal="center"/>
    </xf>
    <xf borderId="26" fillId="11" fontId="13" numFmtId="164" xfId="0" applyAlignment="1" applyBorder="1" applyFont="1" applyNumberFormat="1">
      <alignment horizontal="center"/>
    </xf>
    <xf borderId="40" fillId="11" fontId="12" numFmtId="0" xfId="0" applyAlignment="1" applyBorder="1" applyFont="1">
      <alignment horizontal="center"/>
    </xf>
    <xf borderId="15" fillId="0" fontId="13" numFmtId="0" xfId="0" applyAlignment="1" applyBorder="1" applyFont="1">
      <alignment horizontal="left"/>
    </xf>
    <xf borderId="15" fillId="0" fontId="13" numFmtId="1" xfId="0" applyAlignment="1" applyBorder="1" applyFont="1" applyNumberFormat="1">
      <alignment horizontal="center"/>
    </xf>
    <xf borderId="15" fillId="11" fontId="12" numFmtId="0" xfId="0" applyAlignment="1" applyBorder="1" applyFont="1">
      <alignment horizontal="center"/>
    </xf>
    <xf borderId="26" fillId="0" fontId="13" numFmtId="1" xfId="0" applyAlignment="1" applyBorder="1" applyFont="1" applyNumberFormat="1">
      <alignment horizontal="center"/>
    </xf>
    <xf borderId="12" fillId="11" fontId="12" numFmtId="0" xfId="0" applyAlignment="1" applyBorder="1" applyFont="1">
      <alignment horizontal="center"/>
    </xf>
    <xf borderId="16" fillId="11" fontId="12" numFmtId="0" xfId="0" applyAlignment="1" applyBorder="1" applyFont="1">
      <alignment horizontal="center"/>
    </xf>
    <xf borderId="15" fillId="0" fontId="13" numFmtId="0" xfId="0" applyAlignment="1" applyBorder="1" applyFont="1">
      <alignment horizontal="left" shrinkToFit="0" wrapText="1"/>
    </xf>
    <xf borderId="41" fillId="11" fontId="12" numFmtId="0" xfId="0" applyAlignment="1" applyBorder="1" applyFont="1">
      <alignment horizontal="center"/>
    </xf>
    <xf borderId="35" fillId="7" fontId="13" numFmtId="0" xfId="0" applyAlignment="1" applyBorder="1" applyFont="1">
      <alignment horizontal="left"/>
    </xf>
    <xf borderId="35" fillId="0" fontId="13" numFmtId="1" xfId="0" applyAlignment="1" applyBorder="1" applyFont="1" applyNumberFormat="1">
      <alignment horizontal="center"/>
    </xf>
    <xf borderId="42" fillId="11" fontId="12" numFmtId="0" xfId="0" applyAlignment="1" applyBorder="1" applyFont="1">
      <alignment horizontal="center"/>
    </xf>
    <xf borderId="35" fillId="0" fontId="13" numFmtId="0" xfId="0" applyAlignment="1" applyBorder="1" applyFont="1">
      <alignment horizontal="left"/>
    </xf>
    <xf borderId="36" fillId="0" fontId="13" numFmtId="1" xfId="0" applyAlignment="1" applyBorder="1" applyFont="1" applyNumberFormat="1">
      <alignment horizontal="center"/>
    </xf>
    <xf borderId="3" fillId="2" fontId="1" numFmtId="4" xfId="0" applyAlignment="1" applyBorder="1" applyFont="1" applyNumberFormat="1">
      <alignment horizontal="center"/>
    </xf>
    <xf borderId="21" fillId="0" fontId="6" numFmtId="0" xfId="0" applyAlignment="1" applyBorder="1" applyFont="1">
      <alignment horizontal="left"/>
    </xf>
    <xf borderId="24" fillId="0" fontId="15" numFmtId="4" xfId="0" applyAlignment="1" applyBorder="1" applyFont="1" applyNumberFormat="1">
      <alignment horizontal="center" vertical="center"/>
    </xf>
    <xf borderId="25" fillId="0" fontId="6" numFmtId="0" xfId="0" applyAlignment="1" applyBorder="1" applyFont="1">
      <alignment horizontal="left"/>
    </xf>
    <xf borderId="26" fillId="0" fontId="15" numFmtId="4" xfId="0" applyAlignment="1" applyBorder="1" applyFont="1" applyNumberFormat="1">
      <alignment horizontal="center" vertical="center"/>
    </xf>
    <xf borderId="33" fillId="0" fontId="15" numFmtId="4" xfId="0" applyAlignment="1" applyBorder="1" applyFont="1" applyNumberFormat="1">
      <alignment horizontal="center" vertical="center"/>
    </xf>
    <xf borderId="25" fillId="0" fontId="16" numFmtId="0" xfId="0" applyBorder="1" applyFont="1"/>
    <xf borderId="43" fillId="0" fontId="16" numFmtId="0" xfId="0" applyAlignment="1" applyBorder="1" applyFont="1">
      <alignment horizontal="left"/>
    </xf>
    <xf borderId="31" fillId="0" fontId="2" numFmtId="0" xfId="0" applyBorder="1" applyFont="1"/>
    <xf borderId="3" fillId="6" fontId="17" numFmtId="4" xfId="0" applyAlignment="1" applyBorder="1" applyFont="1" applyNumberFormat="1">
      <alignment horizontal="center" shrinkToFit="0" vertical="center" wrapText="1"/>
    </xf>
    <xf borderId="11" fillId="6" fontId="15" numFmtId="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1">
    <dxf>
      <font>
        <color rgb="FFFFFFFF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43"/>
    <col customWidth="1" min="2" max="2" width="50.57"/>
    <col customWidth="1" min="3" max="3" width="13.43"/>
    <col customWidth="1" min="4" max="4" width="14.57"/>
    <col customWidth="1" min="5" max="5" width="26.14"/>
    <col customWidth="1" min="6" max="6" width="24.14"/>
    <col customWidth="1" min="7" max="7" width="23.14"/>
    <col customWidth="1" min="8" max="8" width="24.43"/>
    <col customWidth="1" min="9" max="9" width="20.43"/>
    <col customWidth="1" min="10" max="10" width="21.14"/>
    <col customWidth="1" min="11" max="11" width="20.86"/>
    <col customWidth="1" min="12" max="12" width="24.57"/>
    <col customWidth="1" min="13" max="13" width="23.57"/>
  </cols>
  <sheetData>
    <row r="1" ht="24.75" customHeight="1">
      <c r="A1" s="1" t="s">
        <v>0</v>
      </c>
      <c r="B1" s="2"/>
      <c r="C1" s="2"/>
      <c r="D1" s="3"/>
      <c r="E1" s="4"/>
      <c r="F1" s="5"/>
      <c r="G1" s="6"/>
      <c r="H1" s="6"/>
      <c r="I1" s="6"/>
      <c r="J1" s="6"/>
      <c r="K1" s="6"/>
      <c r="L1" s="6"/>
      <c r="M1" s="7"/>
    </row>
    <row r="2" ht="48.0" customHeight="1">
      <c r="A2" s="8" t="s">
        <v>1</v>
      </c>
      <c r="B2" s="9" t="s">
        <v>2</v>
      </c>
      <c r="C2" s="10" t="s">
        <v>3</v>
      </c>
      <c r="D2" s="10" t="s">
        <v>4</v>
      </c>
      <c r="E2" s="11" t="s">
        <v>5</v>
      </c>
      <c r="F2" s="12" t="s">
        <v>6</v>
      </c>
      <c r="G2" s="12" t="s">
        <v>7</v>
      </c>
      <c r="H2" s="13" t="s">
        <v>8</v>
      </c>
      <c r="I2" s="14" t="s">
        <v>9</v>
      </c>
      <c r="J2" s="14" t="s">
        <v>10</v>
      </c>
      <c r="K2" s="14" t="s">
        <v>11</v>
      </c>
      <c r="L2" s="15" t="s">
        <v>12</v>
      </c>
      <c r="M2" s="16" t="s">
        <v>13</v>
      </c>
    </row>
    <row r="3" ht="21.0" customHeight="1">
      <c r="A3" s="17">
        <v>1.0</v>
      </c>
      <c r="B3" s="18" t="s">
        <v>14</v>
      </c>
      <c r="C3" s="19">
        <v>100.0</v>
      </c>
      <c r="D3" s="20">
        <v>40.0</v>
      </c>
      <c r="E3" s="21">
        <v>7.0</v>
      </c>
      <c r="F3" s="21">
        <v>23.0</v>
      </c>
      <c r="G3" s="20"/>
      <c r="H3" s="22">
        <v>24.0</v>
      </c>
      <c r="I3" s="23">
        <f t="shared" ref="I3:I124" si="1">E3+F3-G3-H3</f>
        <v>6</v>
      </c>
      <c r="J3" s="24">
        <f t="shared" ref="J3:J124" si="2">C3*I3</f>
        <v>600</v>
      </c>
      <c r="K3" s="25"/>
      <c r="L3" s="20"/>
      <c r="M3" s="26"/>
    </row>
    <row r="4" ht="21.0" customHeight="1">
      <c r="A4" s="27">
        <v>2.0</v>
      </c>
      <c r="B4" s="28" t="s">
        <v>15</v>
      </c>
      <c r="C4" s="29">
        <v>100.0</v>
      </c>
      <c r="D4" s="30">
        <v>40.0</v>
      </c>
      <c r="E4" s="31">
        <v>17.0</v>
      </c>
      <c r="F4" s="31">
        <v>13.0</v>
      </c>
      <c r="G4" s="30"/>
      <c r="H4" s="32">
        <v>28.0</v>
      </c>
      <c r="I4" s="33">
        <f t="shared" si="1"/>
        <v>2</v>
      </c>
      <c r="J4" s="34">
        <f t="shared" si="2"/>
        <v>200</v>
      </c>
      <c r="K4" s="35"/>
      <c r="L4" s="30"/>
      <c r="M4" s="36"/>
    </row>
    <row r="5" ht="21.0" customHeight="1">
      <c r="A5" s="17">
        <v>3.0</v>
      </c>
      <c r="B5" s="37" t="s">
        <v>16</v>
      </c>
      <c r="C5" s="38">
        <v>200.0</v>
      </c>
      <c r="D5" s="39">
        <v>20.0</v>
      </c>
      <c r="E5" s="40">
        <v>8.0</v>
      </c>
      <c r="F5" s="40">
        <v>6.0</v>
      </c>
      <c r="G5" s="39"/>
      <c r="H5" s="41">
        <v>13.0</v>
      </c>
      <c r="I5" s="23">
        <f t="shared" si="1"/>
        <v>1</v>
      </c>
      <c r="J5" s="24">
        <f t="shared" si="2"/>
        <v>200</v>
      </c>
      <c r="K5" s="25"/>
      <c r="L5" s="39"/>
      <c r="M5" s="42"/>
    </row>
    <row r="6" ht="21.0" customHeight="1">
      <c r="A6" s="27">
        <v>4.0</v>
      </c>
      <c r="B6" s="28" t="s">
        <v>17</v>
      </c>
      <c r="C6" s="29">
        <v>200.0</v>
      </c>
      <c r="D6" s="30">
        <v>20.0</v>
      </c>
      <c r="E6" s="31">
        <v>6.0</v>
      </c>
      <c r="F6" s="31">
        <v>4.0</v>
      </c>
      <c r="G6" s="30"/>
      <c r="H6" s="32">
        <v>10.0</v>
      </c>
      <c r="I6" s="33">
        <f t="shared" si="1"/>
        <v>0</v>
      </c>
      <c r="J6" s="34">
        <f t="shared" si="2"/>
        <v>0</v>
      </c>
      <c r="K6" s="35"/>
      <c r="L6" s="30"/>
      <c r="M6" s="36"/>
    </row>
    <row r="7" ht="21.0" customHeight="1">
      <c r="A7" s="17">
        <v>5.0</v>
      </c>
      <c r="B7" s="37" t="s">
        <v>18</v>
      </c>
      <c r="C7" s="38">
        <v>200.0</v>
      </c>
      <c r="D7" s="39">
        <v>20.0</v>
      </c>
      <c r="E7" s="40">
        <v>26.0</v>
      </c>
      <c r="F7" s="40">
        <v>10.0</v>
      </c>
      <c r="G7" s="39"/>
      <c r="H7" s="41">
        <v>35.0</v>
      </c>
      <c r="I7" s="23">
        <f t="shared" si="1"/>
        <v>1</v>
      </c>
      <c r="J7" s="24">
        <f t="shared" si="2"/>
        <v>200</v>
      </c>
      <c r="K7" s="25"/>
      <c r="L7" s="39"/>
      <c r="M7" s="42"/>
    </row>
    <row r="8" ht="21.0" customHeight="1">
      <c r="A8" s="27">
        <v>6.0</v>
      </c>
      <c r="B8" s="28" t="s">
        <v>19</v>
      </c>
      <c r="C8" s="29">
        <v>200.0</v>
      </c>
      <c r="D8" s="43">
        <v>15.0</v>
      </c>
      <c r="E8" s="44">
        <v>1.0</v>
      </c>
      <c r="F8" s="44">
        <v>6.0</v>
      </c>
      <c r="G8" s="43"/>
      <c r="H8" s="45">
        <v>6.0</v>
      </c>
      <c r="I8" s="33">
        <f t="shared" si="1"/>
        <v>1</v>
      </c>
      <c r="J8" s="34">
        <f t="shared" si="2"/>
        <v>200</v>
      </c>
      <c r="K8" s="35"/>
      <c r="L8" s="43"/>
      <c r="M8" s="46"/>
    </row>
    <row r="9" ht="21.0" customHeight="1">
      <c r="A9" s="17">
        <v>7.0</v>
      </c>
      <c r="B9" s="37" t="s">
        <v>20</v>
      </c>
      <c r="C9" s="38">
        <v>200.0</v>
      </c>
      <c r="D9" s="47">
        <v>12.0</v>
      </c>
      <c r="E9" s="48">
        <v>4.5</v>
      </c>
      <c r="F9" s="48">
        <v>3.5</v>
      </c>
      <c r="G9" s="47"/>
      <c r="H9" s="49">
        <v>7.5</v>
      </c>
      <c r="I9" s="23">
        <f t="shared" si="1"/>
        <v>0.5</v>
      </c>
      <c r="J9" s="24">
        <f t="shared" si="2"/>
        <v>100</v>
      </c>
      <c r="K9" s="25"/>
      <c r="L9" s="47"/>
      <c r="M9" s="50"/>
    </row>
    <row r="10" ht="21.0" customHeight="1">
      <c r="A10" s="27">
        <v>8.0</v>
      </c>
      <c r="B10" s="28" t="s">
        <v>21</v>
      </c>
      <c r="C10" s="29">
        <v>200.0</v>
      </c>
      <c r="D10" s="43">
        <v>8.0</v>
      </c>
      <c r="E10" s="44">
        <v>2.5</v>
      </c>
      <c r="F10" s="44">
        <v>4.5</v>
      </c>
      <c r="G10" s="43"/>
      <c r="H10" s="45">
        <v>4.5</v>
      </c>
      <c r="I10" s="33">
        <f t="shared" si="1"/>
        <v>2.5</v>
      </c>
      <c r="J10" s="34">
        <f t="shared" si="2"/>
        <v>500</v>
      </c>
      <c r="K10" s="35"/>
      <c r="L10" s="43"/>
      <c r="M10" s="46"/>
    </row>
    <row r="11" ht="21.0" customHeight="1">
      <c r="A11" s="17">
        <v>9.0</v>
      </c>
      <c r="B11" s="37" t="s">
        <v>22</v>
      </c>
      <c r="C11" s="38">
        <v>200.0</v>
      </c>
      <c r="D11" s="47">
        <v>5.0</v>
      </c>
      <c r="E11" s="48">
        <v>7.5</v>
      </c>
      <c r="F11" s="51"/>
      <c r="G11" s="47"/>
      <c r="H11" s="49">
        <v>7.5</v>
      </c>
      <c r="I11" s="23">
        <f t="shared" si="1"/>
        <v>0</v>
      </c>
      <c r="J11" s="24">
        <f t="shared" si="2"/>
        <v>0</v>
      </c>
      <c r="K11" s="25"/>
      <c r="L11" s="47"/>
      <c r="M11" s="50"/>
    </row>
    <row r="12" ht="21.0" customHeight="1">
      <c r="A12" s="27">
        <v>10.0</v>
      </c>
      <c r="B12" s="28" t="s">
        <v>23</v>
      </c>
      <c r="C12" s="29">
        <v>200.0</v>
      </c>
      <c r="D12" s="43">
        <v>5.0</v>
      </c>
      <c r="E12" s="44">
        <v>1.0</v>
      </c>
      <c r="F12" s="52"/>
      <c r="G12" s="43"/>
      <c r="H12" s="45">
        <v>1.0</v>
      </c>
      <c r="I12" s="33">
        <f t="shared" si="1"/>
        <v>0</v>
      </c>
      <c r="J12" s="34">
        <f t="shared" si="2"/>
        <v>0</v>
      </c>
      <c r="K12" s="35"/>
      <c r="L12" s="43"/>
      <c r="M12" s="46"/>
    </row>
    <row r="13" ht="21.0" customHeight="1">
      <c r="A13" s="17">
        <v>11.0</v>
      </c>
      <c r="B13" s="37" t="s">
        <v>24</v>
      </c>
      <c r="C13" s="38">
        <v>300.0</v>
      </c>
      <c r="D13" s="47">
        <v>10.0</v>
      </c>
      <c r="E13" s="48">
        <v>2.0</v>
      </c>
      <c r="F13" s="48">
        <v>6.0</v>
      </c>
      <c r="G13" s="47"/>
      <c r="H13" s="49">
        <v>7.5</v>
      </c>
      <c r="I13" s="23">
        <f t="shared" si="1"/>
        <v>0.5</v>
      </c>
      <c r="J13" s="24">
        <f t="shared" si="2"/>
        <v>150</v>
      </c>
      <c r="K13" s="25"/>
      <c r="L13" s="47"/>
      <c r="M13" s="50"/>
    </row>
    <row r="14" ht="21.0" customHeight="1">
      <c r="A14" s="27">
        <v>12.0</v>
      </c>
      <c r="B14" s="28" t="s">
        <v>25</v>
      </c>
      <c r="C14" s="29">
        <v>300.0</v>
      </c>
      <c r="D14" s="43">
        <v>2.0</v>
      </c>
      <c r="E14" s="44">
        <v>2.0</v>
      </c>
      <c r="F14" s="52"/>
      <c r="G14" s="43"/>
      <c r="H14" s="45">
        <v>2.0</v>
      </c>
      <c r="I14" s="33">
        <f t="shared" si="1"/>
        <v>0</v>
      </c>
      <c r="J14" s="34">
        <f t="shared" si="2"/>
        <v>0</v>
      </c>
      <c r="K14" s="35"/>
      <c r="L14" s="43"/>
      <c r="M14" s="46"/>
    </row>
    <row r="15" ht="21.0" customHeight="1">
      <c r="A15" s="17">
        <v>13.0</v>
      </c>
      <c r="B15" s="37" t="s">
        <v>26</v>
      </c>
      <c r="C15" s="38">
        <v>200.0</v>
      </c>
      <c r="D15" s="47">
        <v>5.0</v>
      </c>
      <c r="E15" s="48">
        <v>0.5</v>
      </c>
      <c r="F15" s="48">
        <v>1.5</v>
      </c>
      <c r="G15" s="47"/>
      <c r="H15" s="49">
        <v>2.0</v>
      </c>
      <c r="I15" s="23">
        <f t="shared" si="1"/>
        <v>0</v>
      </c>
      <c r="J15" s="24">
        <f t="shared" si="2"/>
        <v>0</v>
      </c>
      <c r="K15" s="25"/>
      <c r="L15" s="47"/>
      <c r="M15" s="50"/>
    </row>
    <row r="16" ht="21.0" customHeight="1">
      <c r="A16" s="27">
        <v>14.0</v>
      </c>
      <c r="B16" s="28" t="s">
        <v>27</v>
      </c>
      <c r="C16" s="29">
        <v>300.0</v>
      </c>
      <c r="D16" s="43">
        <v>1.5</v>
      </c>
      <c r="E16" s="44">
        <v>1.0</v>
      </c>
      <c r="F16" s="44">
        <v>1.0</v>
      </c>
      <c r="G16" s="43"/>
      <c r="H16" s="45">
        <v>2.0</v>
      </c>
      <c r="I16" s="33">
        <f t="shared" si="1"/>
        <v>0</v>
      </c>
      <c r="J16" s="34">
        <f t="shared" si="2"/>
        <v>0</v>
      </c>
      <c r="K16" s="35"/>
      <c r="L16" s="43"/>
      <c r="M16" s="46"/>
    </row>
    <row r="17" ht="21.0" customHeight="1">
      <c r="A17" s="17">
        <v>15.0</v>
      </c>
      <c r="B17" s="37" t="s">
        <v>28</v>
      </c>
      <c r="C17" s="38">
        <v>300.0</v>
      </c>
      <c r="D17" s="47">
        <v>1.5</v>
      </c>
      <c r="E17" s="48">
        <v>2.0</v>
      </c>
      <c r="F17" s="48"/>
      <c r="G17" s="47"/>
      <c r="H17" s="49">
        <v>2.0</v>
      </c>
      <c r="I17" s="23">
        <f t="shared" si="1"/>
        <v>0</v>
      </c>
      <c r="J17" s="24">
        <f t="shared" si="2"/>
        <v>0</v>
      </c>
      <c r="K17" s="25"/>
      <c r="L17" s="47"/>
      <c r="M17" s="50"/>
    </row>
    <row r="18" ht="21.0" customHeight="1">
      <c r="A18" s="27">
        <v>16.0</v>
      </c>
      <c r="B18" s="28" t="s">
        <v>29</v>
      </c>
      <c r="C18" s="29">
        <v>300.0</v>
      </c>
      <c r="D18" s="43">
        <v>1.5</v>
      </c>
      <c r="E18" s="44">
        <v>1.5</v>
      </c>
      <c r="F18" s="53">
        <v>0.5</v>
      </c>
      <c r="G18" s="43"/>
      <c r="H18" s="53">
        <v>1.0</v>
      </c>
      <c r="I18" s="33">
        <f t="shared" si="1"/>
        <v>1</v>
      </c>
      <c r="J18" s="34">
        <f t="shared" si="2"/>
        <v>300</v>
      </c>
      <c r="K18" s="35"/>
      <c r="L18" s="43"/>
      <c r="M18" s="46"/>
    </row>
    <row r="19" ht="21.0" customHeight="1">
      <c r="A19" s="17">
        <v>17.0</v>
      </c>
      <c r="B19" s="37" t="s">
        <v>30</v>
      </c>
      <c r="C19" s="38">
        <v>300.0</v>
      </c>
      <c r="D19" s="47">
        <v>1.0</v>
      </c>
      <c r="E19" s="48">
        <v>0.5</v>
      </c>
      <c r="F19" s="48">
        <v>1.5</v>
      </c>
      <c r="G19" s="47"/>
      <c r="H19" s="49">
        <v>2.0</v>
      </c>
      <c r="I19" s="23">
        <f t="shared" si="1"/>
        <v>0</v>
      </c>
      <c r="J19" s="24">
        <f t="shared" si="2"/>
        <v>0</v>
      </c>
      <c r="K19" s="25"/>
      <c r="L19" s="47"/>
      <c r="M19" s="50"/>
    </row>
    <row r="20" ht="21.0" customHeight="1">
      <c r="A20" s="27">
        <v>18.0</v>
      </c>
      <c r="B20" s="28" t="s">
        <v>31</v>
      </c>
      <c r="C20" s="29">
        <v>100.0</v>
      </c>
      <c r="D20" s="30">
        <v>20.0</v>
      </c>
      <c r="E20" s="31">
        <v>0.0</v>
      </c>
      <c r="F20" s="31"/>
      <c r="G20" s="30"/>
      <c r="H20" s="32">
        <v>0.0</v>
      </c>
      <c r="I20" s="33">
        <f t="shared" si="1"/>
        <v>0</v>
      </c>
      <c r="J20" s="34">
        <f t="shared" si="2"/>
        <v>0</v>
      </c>
      <c r="K20" s="35"/>
      <c r="L20" s="30"/>
      <c r="M20" s="36"/>
    </row>
    <row r="21" ht="21.0" customHeight="1">
      <c r="A21" s="17">
        <v>19.0</v>
      </c>
      <c r="B21" s="37" t="s">
        <v>32</v>
      </c>
      <c r="C21" s="38">
        <v>100.0</v>
      </c>
      <c r="D21" s="39">
        <v>20.0</v>
      </c>
      <c r="E21" s="40">
        <v>15.0</v>
      </c>
      <c r="F21" s="54"/>
      <c r="G21" s="39"/>
      <c r="H21" s="41">
        <v>14.0</v>
      </c>
      <c r="I21" s="23">
        <f t="shared" si="1"/>
        <v>1</v>
      </c>
      <c r="J21" s="24">
        <f t="shared" si="2"/>
        <v>100</v>
      </c>
      <c r="K21" s="25"/>
      <c r="L21" s="39"/>
      <c r="M21" s="42"/>
    </row>
    <row r="22" ht="21.0" customHeight="1">
      <c r="A22" s="27">
        <v>20.0</v>
      </c>
      <c r="B22" s="28" t="s">
        <v>33</v>
      </c>
      <c r="C22" s="29">
        <v>100.0</v>
      </c>
      <c r="D22" s="30">
        <v>20.0</v>
      </c>
      <c r="E22" s="31">
        <v>7.0</v>
      </c>
      <c r="F22" s="31">
        <v>13.0</v>
      </c>
      <c r="G22" s="30"/>
      <c r="H22" s="32">
        <v>20.0</v>
      </c>
      <c r="I22" s="33">
        <f t="shared" si="1"/>
        <v>0</v>
      </c>
      <c r="J22" s="24">
        <f t="shared" si="2"/>
        <v>0</v>
      </c>
      <c r="K22" s="35"/>
      <c r="L22" s="30"/>
      <c r="M22" s="36"/>
    </row>
    <row r="23" ht="21.0" customHeight="1">
      <c r="A23" s="17">
        <v>21.0</v>
      </c>
      <c r="B23" s="37" t="s">
        <v>34</v>
      </c>
      <c r="C23" s="38">
        <v>100.0</v>
      </c>
      <c r="D23" s="39">
        <v>20.0</v>
      </c>
      <c r="E23" s="40">
        <v>6.0</v>
      </c>
      <c r="F23" s="40">
        <v>14.0</v>
      </c>
      <c r="G23" s="39"/>
      <c r="H23" s="41">
        <v>17.0</v>
      </c>
      <c r="I23" s="23">
        <f t="shared" si="1"/>
        <v>3</v>
      </c>
      <c r="J23" s="24">
        <f t="shared" si="2"/>
        <v>300</v>
      </c>
      <c r="K23" s="25"/>
      <c r="L23" s="39"/>
      <c r="M23" s="42"/>
    </row>
    <row r="24" ht="21.0" customHeight="1">
      <c r="A24" s="27">
        <v>22.0</v>
      </c>
      <c r="B24" s="28" t="s">
        <v>35</v>
      </c>
      <c r="C24" s="29">
        <v>100.0</v>
      </c>
      <c r="D24" s="30">
        <v>15.0</v>
      </c>
      <c r="E24" s="31">
        <v>11.0</v>
      </c>
      <c r="F24" s="31">
        <v>9.0</v>
      </c>
      <c r="G24" s="30"/>
      <c r="H24" s="41">
        <v>20.0</v>
      </c>
      <c r="I24" s="33">
        <f t="shared" si="1"/>
        <v>0</v>
      </c>
      <c r="J24" s="34">
        <f t="shared" si="2"/>
        <v>0</v>
      </c>
      <c r="K24" s="35"/>
      <c r="L24" s="30"/>
      <c r="M24" s="36"/>
    </row>
    <row r="25" ht="21.0" customHeight="1">
      <c r="A25" s="17">
        <v>23.0</v>
      </c>
      <c r="B25" s="37" t="s">
        <v>36</v>
      </c>
      <c r="C25" s="38">
        <v>150.0</v>
      </c>
      <c r="D25" s="39">
        <v>3.0</v>
      </c>
      <c r="E25" s="40">
        <v>1.0</v>
      </c>
      <c r="F25" s="54"/>
      <c r="G25" s="39"/>
      <c r="H25" s="41">
        <v>1.0</v>
      </c>
      <c r="I25" s="23">
        <f t="shared" si="1"/>
        <v>0</v>
      </c>
      <c r="J25" s="24">
        <f t="shared" si="2"/>
        <v>0</v>
      </c>
      <c r="K25" s="25"/>
      <c r="L25" s="39"/>
      <c r="M25" s="42"/>
    </row>
    <row r="26" ht="21.0" customHeight="1">
      <c r="A26" s="27">
        <v>24.0</v>
      </c>
      <c r="B26" s="28" t="s">
        <v>37</v>
      </c>
      <c r="C26" s="29">
        <v>100.0</v>
      </c>
      <c r="D26" s="30">
        <v>15.0</v>
      </c>
      <c r="E26" s="31">
        <v>5.0</v>
      </c>
      <c r="F26" s="55"/>
      <c r="G26" s="30"/>
      <c r="H26" s="32">
        <v>5.0</v>
      </c>
      <c r="I26" s="33">
        <f t="shared" si="1"/>
        <v>0</v>
      </c>
      <c r="J26" s="34">
        <f t="shared" si="2"/>
        <v>0</v>
      </c>
      <c r="K26" s="35"/>
      <c r="L26" s="30"/>
      <c r="M26" s="36"/>
    </row>
    <row r="27" ht="21.0" customHeight="1">
      <c r="A27" s="17">
        <v>25.0</v>
      </c>
      <c r="B27" s="37" t="s">
        <v>38</v>
      </c>
      <c r="C27" s="38">
        <v>100.0</v>
      </c>
      <c r="D27" s="39">
        <v>15.0</v>
      </c>
      <c r="E27" s="40">
        <v>1.0</v>
      </c>
      <c r="F27" s="40">
        <v>6.0</v>
      </c>
      <c r="G27" s="39"/>
      <c r="H27" s="41">
        <v>7.0</v>
      </c>
      <c r="I27" s="23">
        <f t="shared" si="1"/>
        <v>0</v>
      </c>
      <c r="J27" s="24">
        <f t="shared" si="2"/>
        <v>0</v>
      </c>
      <c r="K27" s="25"/>
      <c r="L27" s="39"/>
      <c r="M27" s="42"/>
    </row>
    <row r="28" ht="21.0" customHeight="1">
      <c r="A28" s="27">
        <v>26.0</v>
      </c>
      <c r="B28" s="28" t="s">
        <v>39</v>
      </c>
      <c r="C28" s="29">
        <v>100.0</v>
      </c>
      <c r="D28" s="30">
        <v>15.0</v>
      </c>
      <c r="E28" s="31">
        <v>2.0</v>
      </c>
      <c r="F28" s="31">
        <v>4.0</v>
      </c>
      <c r="G28" s="30"/>
      <c r="H28" s="32">
        <v>6.0</v>
      </c>
      <c r="I28" s="33">
        <f t="shared" si="1"/>
        <v>0</v>
      </c>
      <c r="J28" s="34">
        <f t="shared" si="2"/>
        <v>0</v>
      </c>
      <c r="K28" s="35"/>
      <c r="L28" s="30"/>
      <c r="M28" s="36"/>
    </row>
    <row r="29" ht="21.0" customHeight="1">
      <c r="A29" s="17">
        <v>27.0</v>
      </c>
      <c r="B29" s="37" t="s">
        <v>40</v>
      </c>
      <c r="C29" s="38">
        <v>100.0</v>
      </c>
      <c r="D29" s="39">
        <v>6.0</v>
      </c>
      <c r="E29" s="40">
        <v>6.0</v>
      </c>
      <c r="F29" s="54"/>
      <c r="G29" s="39"/>
      <c r="H29" s="41">
        <v>6.0</v>
      </c>
      <c r="I29" s="23">
        <f t="shared" si="1"/>
        <v>0</v>
      </c>
      <c r="J29" s="24">
        <f t="shared" si="2"/>
        <v>0</v>
      </c>
      <c r="K29" s="25"/>
      <c r="L29" s="39"/>
      <c r="M29" s="42"/>
    </row>
    <row r="30" ht="21.0" customHeight="1">
      <c r="A30" s="27">
        <v>28.0</v>
      </c>
      <c r="B30" s="28" t="s">
        <v>41</v>
      </c>
      <c r="C30" s="29">
        <v>100.0</v>
      </c>
      <c r="D30" s="30">
        <v>8.0</v>
      </c>
      <c r="E30" s="31">
        <v>4.0</v>
      </c>
      <c r="F30" s="31">
        <v>2.0</v>
      </c>
      <c r="G30" s="30"/>
      <c r="H30" s="32">
        <v>6.0</v>
      </c>
      <c r="I30" s="33">
        <f t="shared" si="1"/>
        <v>0</v>
      </c>
      <c r="J30" s="34">
        <f t="shared" si="2"/>
        <v>0</v>
      </c>
      <c r="K30" s="35"/>
      <c r="L30" s="30"/>
      <c r="M30" s="36"/>
    </row>
    <row r="31" ht="21.0" customHeight="1">
      <c r="A31" s="17">
        <v>29.0</v>
      </c>
      <c r="B31" s="37" t="s">
        <v>42</v>
      </c>
      <c r="C31" s="38">
        <v>100.0</v>
      </c>
      <c r="D31" s="39">
        <v>10.0</v>
      </c>
      <c r="E31" s="40">
        <v>6.0</v>
      </c>
      <c r="F31" s="40">
        <v>4.0</v>
      </c>
      <c r="G31" s="39"/>
      <c r="H31" s="41">
        <v>8.0</v>
      </c>
      <c r="I31" s="23">
        <f t="shared" si="1"/>
        <v>2</v>
      </c>
      <c r="J31" s="24">
        <f t="shared" si="2"/>
        <v>200</v>
      </c>
      <c r="K31" s="25"/>
      <c r="L31" s="39"/>
      <c r="M31" s="42"/>
    </row>
    <row r="32" ht="21.0" customHeight="1">
      <c r="A32" s="27">
        <v>30.0</v>
      </c>
      <c r="B32" s="28" t="s">
        <v>43</v>
      </c>
      <c r="C32" s="29">
        <v>100.0</v>
      </c>
      <c r="D32" s="30">
        <v>10.0</v>
      </c>
      <c r="E32" s="31">
        <v>3.0</v>
      </c>
      <c r="F32" s="31">
        <v>7.0</v>
      </c>
      <c r="G32" s="30"/>
      <c r="H32" s="32">
        <v>10.0</v>
      </c>
      <c r="I32" s="33">
        <f t="shared" si="1"/>
        <v>0</v>
      </c>
      <c r="J32" s="34">
        <f t="shared" si="2"/>
        <v>0</v>
      </c>
      <c r="K32" s="35"/>
      <c r="L32" s="30"/>
      <c r="M32" s="36"/>
    </row>
    <row r="33" ht="21.0" customHeight="1">
      <c r="A33" s="17">
        <v>31.0</v>
      </c>
      <c r="B33" s="37" t="s">
        <v>44</v>
      </c>
      <c r="C33" s="38">
        <v>200.0</v>
      </c>
      <c r="D33" s="39">
        <v>2.0</v>
      </c>
      <c r="E33" s="40">
        <v>3.0</v>
      </c>
      <c r="F33" s="54"/>
      <c r="G33" s="39"/>
      <c r="H33" s="41">
        <v>3.0</v>
      </c>
      <c r="I33" s="23">
        <f t="shared" si="1"/>
        <v>0</v>
      </c>
      <c r="J33" s="24">
        <f t="shared" si="2"/>
        <v>0</v>
      </c>
      <c r="K33" s="25"/>
      <c r="L33" s="39"/>
      <c r="M33" s="42"/>
    </row>
    <row r="34" ht="21.0" customHeight="1">
      <c r="A34" s="27">
        <v>32.0</v>
      </c>
      <c r="B34" s="28" t="s">
        <v>45</v>
      </c>
      <c r="C34" s="29">
        <v>150.0</v>
      </c>
      <c r="D34" s="30">
        <v>6.0</v>
      </c>
      <c r="E34" s="31">
        <v>3.0</v>
      </c>
      <c r="F34" s="55"/>
      <c r="G34" s="30"/>
      <c r="H34" s="32">
        <v>3.0</v>
      </c>
      <c r="I34" s="33">
        <f t="shared" si="1"/>
        <v>0</v>
      </c>
      <c r="J34" s="34">
        <f t="shared" si="2"/>
        <v>0</v>
      </c>
      <c r="K34" s="35"/>
      <c r="L34" s="30"/>
      <c r="M34" s="36"/>
    </row>
    <row r="35" ht="21.0" customHeight="1">
      <c r="A35" s="17">
        <v>33.0</v>
      </c>
      <c r="B35" s="37" t="s">
        <v>46</v>
      </c>
      <c r="C35" s="38">
        <v>100.0</v>
      </c>
      <c r="D35" s="39">
        <v>12.0</v>
      </c>
      <c r="E35" s="40">
        <v>0.0</v>
      </c>
      <c r="F35" s="40">
        <v>10.0</v>
      </c>
      <c r="G35" s="39"/>
      <c r="H35" s="41">
        <v>9.0</v>
      </c>
      <c r="I35" s="23">
        <f t="shared" si="1"/>
        <v>1</v>
      </c>
      <c r="J35" s="24">
        <f t="shared" si="2"/>
        <v>100</v>
      </c>
      <c r="K35" s="25"/>
      <c r="L35" s="39"/>
      <c r="M35" s="42"/>
    </row>
    <row r="36" ht="21.0" customHeight="1">
      <c r="A36" s="27">
        <v>34.0</v>
      </c>
      <c r="B36" s="28" t="s">
        <v>47</v>
      </c>
      <c r="C36" s="29">
        <v>150.0</v>
      </c>
      <c r="D36" s="30">
        <v>12.0</v>
      </c>
      <c r="E36" s="31">
        <v>2.0</v>
      </c>
      <c r="F36" s="31">
        <v>8.0</v>
      </c>
      <c r="G36" s="30"/>
      <c r="H36" s="32">
        <v>8.0</v>
      </c>
      <c r="I36" s="33">
        <f t="shared" si="1"/>
        <v>2</v>
      </c>
      <c r="J36" s="34">
        <f t="shared" si="2"/>
        <v>300</v>
      </c>
      <c r="K36" s="35"/>
      <c r="L36" s="30"/>
      <c r="M36" s="36"/>
    </row>
    <row r="37" ht="21.0" customHeight="1">
      <c r="A37" s="17">
        <v>35.0</v>
      </c>
      <c r="B37" s="37" t="s">
        <v>48</v>
      </c>
      <c r="C37" s="38">
        <v>250.0</v>
      </c>
      <c r="D37" s="39">
        <v>10.0</v>
      </c>
      <c r="E37" s="40">
        <v>7.0</v>
      </c>
      <c r="F37" s="54"/>
      <c r="G37" s="39"/>
      <c r="H37" s="41">
        <v>7.0</v>
      </c>
      <c r="I37" s="23">
        <f t="shared" si="1"/>
        <v>0</v>
      </c>
      <c r="J37" s="24">
        <f t="shared" si="2"/>
        <v>0</v>
      </c>
      <c r="K37" s="25"/>
      <c r="L37" s="39"/>
      <c r="M37" s="42"/>
    </row>
    <row r="38" ht="21.0" customHeight="1">
      <c r="A38" s="27">
        <v>36.0</v>
      </c>
      <c r="B38" s="28" t="s">
        <v>49</v>
      </c>
      <c r="C38" s="29">
        <v>150.0</v>
      </c>
      <c r="D38" s="30">
        <v>3.0</v>
      </c>
      <c r="E38" s="31">
        <v>7.0</v>
      </c>
      <c r="F38" s="55"/>
      <c r="G38" s="30"/>
      <c r="H38" s="32">
        <v>7.0</v>
      </c>
      <c r="I38" s="33">
        <f t="shared" si="1"/>
        <v>0</v>
      </c>
      <c r="J38" s="34">
        <f t="shared" si="2"/>
        <v>0</v>
      </c>
      <c r="K38" s="35"/>
      <c r="L38" s="30"/>
      <c r="M38" s="36"/>
    </row>
    <row r="39" ht="21.0" customHeight="1">
      <c r="A39" s="17">
        <v>37.0</v>
      </c>
      <c r="B39" s="37" t="s">
        <v>50</v>
      </c>
      <c r="C39" s="38">
        <v>150.0</v>
      </c>
      <c r="D39" s="39">
        <v>3.0</v>
      </c>
      <c r="E39" s="40">
        <v>4.0</v>
      </c>
      <c r="F39" s="40">
        <v>3.0</v>
      </c>
      <c r="G39" s="39"/>
      <c r="H39" s="41">
        <v>7.0</v>
      </c>
      <c r="I39" s="23">
        <f t="shared" si="1"/>
        <v>0</v>
      </c>
      <c r="J39" s="24">
        <f t="shared" si="2"/>
        <v>0</v>
      </c>
      <c r="K39" s="25"/>
      <c r="L39" s="39"/>
      <c r="M39" s="42"/>
    </row>
    <row r="40" ht="21.0" customHeight="1">
      <c r="A40" s="27">
        <v>38.0</v>
      </c>
      <c r="B40" s="28" t="s">
        <v>51</v>
      </c>
      <c r="C40" s="29">
        <v>150.0</v>
      </c>
      <c r="D40" s="30">
        <v>5.0</v>
      </c>
      <c r="E40" s="31">
        <v>2.0</v>
      </c>
      <c r="F40" s="55"/>
      <c r="G40" s="30"/>
      <c r="H40" s="32">
        <v>2.0</v>
      </c>
      <c r="I40" s="33">
        <f t="shared" si="1"/>
        <v>0</v>
      </c>
      <c r="J40" s="34">
        <f t="shared" si="2"/>
        <v>0</v>
      </c>
      <c r="K40" s="35"/>
      <c r="L40" s="30"/>
      <c r="M40" s="36"/>
    </row>
    <row r="41" ht="21.0" customHeight="1">
      <c r="A41" s="17">
        <v>39.0</v>
      </c>
      <c r="B41" s="37" t="s">
        <v>52</v>
      </c>
      <c r="C41" s="38">
        <v>150.0</v>
      </c>
      <c r="D41" s="39">
        <v>6.0</v>
      </c>
      <c r="E41" s="40">
        <v>6.0</v>
      </c>
      <c r="F41" s="54"/>
      <c r="G41" s="39"/>
      <c r="H41" s="41">
        <v>6.0</v>
      </c>
      <c r="I41" s="23">
        <f t="shared" si="1"/>
        <v>0</v>
      </c>
      <c r="J41" s="24">
        <f t="shared" si="2"/>
        <v>0</v>
      </c>
      <c r="K41" s="25"/>
      <c r="L41" s="39"/>
      <c r="M41" s="42"/>
    </row>
    <row r="42" ht="21.0" customHeight="1">
      <c r="A42" s="27">
        <v>40.0</v>
      </c>
      <c r="B42" s="28" t="s">
        <v>53</v>
      </c>
      <c r="C42" s="29">
        <v>150.0</v>
      </c>
      <c r="D42" s="30">
        <v>2.0</v>
      </c>
      <c r="E42" s="31">
        <v>2.0</v>
      </c>
      <c r="F42" s="55"/>
      <c r="G42" s="30"/>
      <c r="H42" s="32">
        <v>2.0</v>
      </c>
      <c r="I42" s="33">
        <f t="shared" si="1"/>
        <v>0</v>
      </c>
      <c r="J42" s="34">
        <f t="shared" si="2"/>
        <v>0</v>
      </c>
      <c r="K42" s="35"/>
      <c r="L42" s="30"/>
      <c r="M42" s="36"/>
    </row>
    <row r="43" ht="21.0" customHeight="1">
      <c r="A43" s="17">
        <v>41.0</v>
      </c>
      <c r="B43" s="37" t="s">
        <v>54</v>
      </c>
      <c r="C43" s="38">
        <v>200.0</v>
      </c>
      <c r="D43" s="39">
        <v>10.0</v>
      </c>
      <c r="E43" s="40">
        <v>5.0</v>
      </c>
      <c r="F43" s="54"/>
      <c r="G43" s="39"/>
      <c r="H43" s="41">
        <v>4.0</v>
      </c>
      <c r="I43" s="23">
        <f t="shared" si="1"/>
        <v>1</v>
      </c>
      <c r="J43" s="24">
        <f t="shared" si="2"/>
        <v>200</v>
      </c>
      <c r="K43" s="25"/>
      <c r="L43" s="39"/>
      <c r="M43" s="42"/>
    </row>
    <row r="44" ht="21.0" customHeight="1">
      <c r="A44" s="27">
        <v>42.0</v>
      </c>
      <c r="B44" s="28" t="s">
        <v>55</v>
      </c>
      <c r="C44" s="29">
        <v>150.0</v>
      </c>
      <c r="D44" s="30">
        <v>10.0</v>
      </c>
      <c r="E44" s="31">
        <v>7.0</v>
      </c>
      <c r="F44" s="55"/>
      <c r="G44" s="30"/>
      <c r="H44" s="32">
        <v>7.0</v>
      </c>
      <c r="I44" s="33">
        <f t="shared" si="1"/>
        <v>0</v>
      </c>
      <c r="J44" s="34">
        <f t="shared" si="2"/>
        <v>0</v>
      </c>
      <c r="K44" s="35"/>
      <c r="L44" s="30"/>
      <c r="M44" s="36"/>
    </row>
    <row r="45" ht="21.0" customHeight="1">
      <c r="A45" s="17">
        <v>43.0</v>
      </c>
      <c r="B45" s="37" t="s">
        <v>56</v>
      </c>
      <c r="C45" s="38">
        <v>200.0</v>
      </c>
      <c r="D45" s="39">
        <v>4.0</v>
      </c>
      <c r="E45" s="40">
        <v>1.0</v>
      </c>
      <c r="F45" s="54"/>
      <c r="G45" s="39"/>
      <c r="H45" s="41">
        <v>1.0</v>
      </c>
      <c r="I45" s="23">
        <f t="shared" si="1"/>
        <v>0</v>
      </c>
      <c r="J45" s="24">
        <f t="shared" si="2"/>
        <v>0</v>
      </c>
      <c r="K45" s="25"/>
      <c r="L45" s="39"/>
      <c r="M45" s="42"/>
    </row>
    <row r="46" ht="21.0" customHeight="1">
      <c r="A46" s="27">
        <v>44.0</v>
      </c>
      <c r="B46" s="28" t="s">
        <v>57</v>
      </c>
      <c r="C46" s="29">
        <v>200.0</v>
      </c>
      <c r="D46" s="30">
        <v>4.0</v>
      </c>
      <c r="E46" s="31">
        <v>1.0</v>
      </c>
      <c r="F46" s="55"/>
      <c r="G46" s="30"/>
      <c r="H46" s="32">
        <v>1.0</v>
      </c>
      <c r="I46" s="33">
        <f t="shared" si="1"/>
        <v>0</v>
      </c>
      <c r="J46" s="34">
        <f t="shared" si="2"/>
        <v>0</v>
      </c>
      <c r="K46" s="35"/>
      <c r="L46" s="30"/>
      <c r="M46" s="36"/>
    </row>
    <row r="47" ht="21.0" customHeight="1">
      <c r="A47" s="17">
        <v>45.0</v>
      </c>
      <c r="B47" s="37" t="s">
        <v>58</v>
      </c>
      <c r="C47" s="38">
        <v>150.0</v>
      </c>
      <c r="D47" s="39">
        <v>7.0</v>
      </c>
      <c r="E47" s="40">
        <v>2.0</v>
      </c>
      <c r="F47" s="54"/>
      <c r="G47" s="39"/>
      <c r="H47" s="41">
        <v>2.0</v>
      </c>
      <c r="I47" s="23">
        <f t="shared" si="1"/>
        <v>0</v>
      </c>
      <c r="J47" s="24">
        <f t="shared" si="2"/>
        <v>0</v>
      </c>
      <c r="K47" s="25"/>
      <c r="L47" s="39"/>
      <c r="M47" s="42"/>
    </row>
    <row r="48" ht="21.0" customHeight="1">
      <c r="A48" s="27">
        <v>46.0</v>
      </c>
      <c r="B48" s="28" t="s">
        <v>59</v>
      </c>
      <c r="C48" s="29">
        <v>100.0</v>
      </c>
      <c r="D48" s="30">
        <v>8.0</v>
      </c>
      <c r="E48" s="31">
        <v>4.0</v>
      </c>
      <c r="F48" s="31">
        <v>6.0</v>
      </c>
      <c r="G48" s="30"/>
      <c r="H48" s="32">
        <v>10.0</v>
      </c>
      <c r="I48" s="33">
        <f t="shared" si="1"/>
        <v>0</v>
      </c>
      <c r="J48" s="34">
        <f t="shared" si="2"/>
        <v>0</v>
      </c>
      <c r="K48" s="35"/>
      <c r="L48" s="30"/>
      <c r="M48" s="36"/>
    </row>
    <row r="49" ht="21.0" customHeight="1">
      <c r="A49" s="17">
        <v>47.0</v>
      </c>
      <c r="B49" s="37" t="s">
        <v>60</v>
      </c>
      <c r="C49" s="38">
        <v>100.0</v>
      </c>
      <c r="D49" s="39">
        <v>8.0</v>
      </c>
      <c r="E49" s="40">
        <v>4.0</v>
      </c>
      <c r="F49" s="54"/>
      <c r="G49" s="39"/>
      <c r="H49" s="41">
        <v>4.0</v>
      </c>
      <c r="I49" s="23">
        <f t="shared" si="1"/>
        <v>0</v>
      </c>
      <c r="J49" s="24">
        <f t="shared" si="2"/>
        <v>0</v>
      </c>
      <c r="K49" s="25"/>
      <c r="L49" s="39"/>
      <c r="M49" s="42"/>
    </row>
    <row r="50" ht="21.0" customHeight="1">
      <c r="A50" s="27">
        <v>48.0</v>
      </c>
      <c r="B50" s="28" t="s">
        <v>61</v>
      </c>
      <c r="C50" s="29">
        <v>150.0</v>
      </c>
      <c r="D50" s="30">
        <v>6.0</v>
      </c>
      <c r="E50" s="31">
        <v>7.0</v>
      </c>
      <c r="F50" s="55"/>
      <c r="G50" s="30"/>
      <c r="H50" s="32">
        <v>7.0</v>
      </c>
      <c r="I50" s="33">
        <f t="shared" si="1"/>
        <v>0</v>
      </c>
      <c r="J50" s="34">
        <f t="shared" si="2"/>
        <v>0</v>
      </c>
      <c r="K50" s="35"/>
      <c r="L50" s="30"/>
      <c r="M50" s="36"/>
    </row>
    <row r="51" ht="21.0" customHeight="1">
      <c r="A51" s="17">
        <v>49.0</v>
      </c>
      <c r="B51" s="37" t="s">
        <v>62</v>
      </c>
      <c r="C51" s="38">
        <v>200.0</v>
      </c>
      <c r="D51" s="39">
        <v>10.0</v>
      </c>
      <c r="E51" s="40">
        <v>4.0</v>
      </c>
      <c r="F51" s="54"/>
      <c r="G51" s="39"/>
      <c r="H51" s="41">
        <v>4.0</v>
      </c>
      <c r="I51" s="23">
        <f t="shared" si="1"/>
        <v>0</v>
      </c>
      <c r="J51" s="24">
        <f t="shared" si="2"/>
        <v>0</v>
      </c>
      <c r="K51" s="25"/>
      <c r="L51" s="39"/>
      <c r="M51" s="42"/>
    </row>
    <row r="52" ht="21.0" customHeight="1">
      <c r="A52" s="27">
        <v>50.0</v>
      </c>
      <c r="B52" s="28" t="s">
        <v>63</v>
      </c>
      <c r="C52" s="29">
        <v>200.0</v>
      </c>
      <c r="D52" s="30">
        <v>10.0</v>
      </c>
      <c r="E52" s="31">
        <v>7.0</v>
      </c>
      <c r="F52" s="55"/>
      <c r="G52" s="30"/>
      <c r="H52" s="32">
        <v>7.0</v>
      </c>
      <c r="I52" s="33">
        <f t="shared" si="1"/>
        <v>0</v>
      </c>
      <c r="J52" s="34">
        <f t="shared" si="2"/>
        <v>0</v>
      </c>
      <c r="K52" s="35"/>
      <c r="L52" s="30"/>
      <c r="M52" s="36"/>
    </row>
    <row r="53" ht="21.0" customHeight="1">
      <c r="A53" s="17">
        <v>51.0</v>
      </c>
      <c r="B53" s="37" t="s">
        <v>64</v>
      </c>
      <c r="C53" s="38">
        <v>200.0</v>
      </c>
      <c r="D53" s="39">
        <v>15.0</v>
      </c>
      <c r="E53" s="40">
        <v>8.0</v>
      </c>
      <c r="F53" s="54"/>
      <c r="G53" s="39"/>
      <c r="H53" s="41">
        <v>8.0</v>
      </c>
      <c r="I53" s="23">
        <f t="shared" si="1"/>
        <v>0</v>
      </c>
      <c r="J53" s="24">
        <f t="shared" si="2"/>
        <v>0</v>
      </c>
      <c r="K53" s="25"/>
      <c r="L53" s="39"/>
      <c r="M53" s="42"/>
    </row>
    <row r="54" ht="21.0" customHeight="1">
      <c r="A54" s="27">
        <v>52.0</v>
      </c>
      <c r="B54" s="28" t="s">
        <v>65</v>
      </c>
      <c r="C54" s="29">
        <v>250.0</v>
      </c>
      <c r="D54" s="30">
        <v>4.0</v>
      </c>
      <c r="E54" s="31">
        <v>3.0</v>
      </c>
      <c r="F54" s="55"/>
      <c r="G54" s="30"/>
      <c r="H54" s="32">
        <v>3.0</v>
      </c>
      <c r="I54" s="33">
        <f t="shared" si="1"/>
        <v>0</v>
      </c>
      <c r="J54" s="34">
        <f t="shared" si="2"/>
        <v>0</v>
      </c>
      <c r="K54" s="35"/>
      <c r="L54" s="30"/>
      <c r="M54" s="36"/>
    </row>
    <row r="55" ht="21.0" customHeight="1">
      <c r="A55" s="17">
        <v>53.0</v>
      </c>
      <c r="B55" s="37" t="s">
        <v>66</v>
      </c>
      <c r="C55" s="38">
        <v>300.0</v>
      </c>
      <c r="D55" s="39">
        <v>2.0</v>
      </c>
      <c r="E55" s="40">
        <v>2.0</v>
      </c>
      <c r="F55" s="54"/>
      <c r="G55" s="39"/>
      <c r="H55" s="41">
        <v>2.0</v>
      </c>
      <c r="I55" s="23">
        <f t="shared" si="1"/>
        <v>0</v>
      </c>
      <c r="J55" s="24">
        <f t="shared" si="2"/>
        <v>0</v>
      </c>
      <c r="K55" s="25"/>
      <c r="L55" s="39"/>
      <c r="M55" s="42"/>
    </row>
    <row r="56" ht="21.0" customHeight="1">
      <c r="A56" s="27">
        <v>54.0</v>
      </c>
      <c r="B56" s="28" t="s">
        <v>67</v>
      </c>
      <c r="C56" s="29">
        <v>150.0</v>
      </c>
      <c r="D56" s="30">
        <v>4.0</v>
      </c>
      <c r="E56" s="31">
        <v>2.0</v>
      </c>
      <c r="F56" s="55"/>
      <c r="G56" s="30"/>
      <c r="H56" s="32">
        <v>2.0</v>
      </c>
      <c r="I56" s="33">
        <f t="shared" si="1"/>
        <v>0</v>
      </c>
      <c r="J56" s="34">
        <f t="shared" si="2"/>
        <v>0</v>
      </c>
      <c r="K56" s="35"/>
      <c r="L56" s="30"/>
      <c r="M56" s="36"/>
    </row>
    <row r="57" ht="21.0" customHeight="1">
      <c r="A57" s="17">
        <v>55.0</v>
      </c>
      <c r="B57" s="37" t="s">
        <v>68</v>
      </c>
      <c r="C57" s="38">
        <v>100.0</v>
      </c>
      <c r="D57" s="39">
        <v>2.0</v>
      </c>
      <c r="E57" s="40">
        <v>0.0</v>
      </c>
      <c r="F57" s="54"/>
      <c r="G57" s="39"/>
      <c r="H57" s="41">
        <v>0.0</v>
      </c>
      <c r="I57" s="23">
        <f t="shared" si="1"/>
        <v>0</v>
      </c>
      <c r="J57" s="24">
        <f t="shared" si="2"/>
        <v>0</v>
      </c>
      <c r="K57" s="25"/>
      <c r="L57" s="39"/>
      <c r="M57" s="42"/>
    </row>
    <row r="58" ht="21.0" customHeight="1">
      <c r="A58" s="27">
        <v>56.0</v>
      </c>
      <c r="B58" s="28" t="s">
        <v>69</v>
      </c>
      <c r="C58" s="29">
        <v>150.0</v>
      </c>
      <c r="D58" s="30">
        <v>4.0</v>
      </c>
      <c r="E58" s="31">
        <v>2.0</v>
      </c>
      <c r="F58" s="55"/>
      <c r="G58" s="30"/>
      <c r="H58" s="32">
        <v>2.0</v>
      </c>
      <c r="I58" s="33">
        <f t="shared" si="1"/>
        <v>0</v>
      </c>
      <c r="J58" s="34">
        <f t="shared" si="2"/>
        <v>0</v>
      </c>
      <c r="K58" s="35"/>
      <c r="L58" s="30"/>
      <c r="M58" s="36"/>
    </row>
    <row r="59" ht="21.0" customHeight="1">
      <c r="A59" s="17">
        <v>57.0</v>
      </c>
      <c r="B59" s="37" t="s">
        <v>70</v>
      </c>
      <c r="C59" s="38">
        <v>350.0</v>
      </c>
      <c r="D59" s="39">
        <v>2.0</v>
      </c>
      <c r="E59" s="40">
        <v>2.0</v>
      </c>
      <c r="F59" s="40">
        <v>2.0</v>
      </c>
      <c r="G59" s="39"/>
      <c r="H59" s="41">
        <v>4.0</v>
      </c>
      <c r="I59" s="23">
        <f t="shared" si="1"/>
        <v>0</v>
      </c>
      <c r="J59" s="24">
        <f t="shared" si="2"/>
        <v>0</v>
      </c>
      <c r="K59" s="25"/>
      <c r="L59" s="39"/>
      <c r="M59" s="42"/>
    </row>
    <row r="60" ht="21.0" customHeight="1">
      <c r="A60" s="27">
        <v>58.0</v>
      </c>
      <c r="B60" s="28" t="s">
        <v>71</v>
      </c>
      <c r="C60" s="29">
        <v>250.0</v>
      </c>
      <c r="D60" s="30">
        <v>6.0</v>
      </c>
      <c r="E60" s="31">
        <v>5.0</v>
      </c>
      <c r="F60" s="55"/>
      <c r="G60" s="30"/>
      <c r="H60" s="32">
        <v>5.0</v>
      </c>
      <c r="I60" s="33">
        <f t="shared" si="1"/>
        <v>0</v>
      </c>
      <c r="J60" s="34">
        <f t="shared" si="2"/>
        <v>0</v>
      </c>
      <c r="K60" s="35"/>
      <c r="L60" s="30"/>
      <c r="M60" s="36"/>
    </row>
    <row r="61" ht="21.0" customHeight="1">
      <c r="A61" s="17">
        <v>59.0</v>
      </c>
      <c r="B61" s="37" t="s">
        <v>72</v>
      </c>
      <c r="C61" s="38">
        <v>1400.0</v>
      </c>
      <c r="D61" s="39">
        <v>2.0</v>
      </c>
      <c r="E61" s="40">
        <v>1.0</v>
      </c>
      <c r="F61" s="54"/>
      <c r="G61" s="39"/>
      <c r="H61" s="41">
        <v>1.0</v>
      </c>
      <c r="I61" s="23">
        <f t="shared" si="1"/>
        <v>0</v>
      </c>
      <c r="J61" s="24">
        <f t="shared" si="2"/>
        <v>0</v>
      </c>
      <c r="K61" s="25"/>
      <c r="L61" s="39"/>
      <c r="M61" s="42"/>
    </row>
    <row r="62" ht="21.0" customHeight="1">
      <c r="A62" s="56">
        <v>60.0</v>
      </c>
      <c r="B62" s="57" t="s">
        <v>73</v>
      </c>
      <c r="C62" s="58">
        <v>400.0</v>
      </c>
      <c r="D62" s="30">
        <v>3.0</v>
      </c>
      <c r="E62" s="31">
        <v>2.0</v>
      </c>
      <c r="F62" s="55"/>
      <c r="G62" s="30"/>
      <c r="H62" s="32">
        <v>2.0</v>
      </c>
      <c r="I62" s="33">
        <f t="shared" si="1"/>
        <v>0</v>
      </c>
      <c r="J62" s="34">
        <f t="shared" si="2"/>
        <v>0</v>
      </c>
      <c r="K62" s="35"/>
      <c r="L62" s="30"/>
      <c r="M62" s="36"/>
    </row>
    <row r="63" ht="21.0" customHeight="1">
      <c r="A63" s="59">
        <v>61.0</v>
      </c>
      <c r="B63" s="60" t="s">
        <v>74</v>
      </c>
      <c r="C63" s="61">
        <v>500.0</v>
      </c>
      <c r="D63" s="62">
        <v>3.0</v>
      </c>
      <c r="E63" s="63">
        <v>2.0</v>
      </c>
      <c r="F63" s="64"/>
      <c r="G63" s="62"/>
      <c r="H63" s="65">
        <v>2.0</v>
      </c>
      <c r="I63" s="66">
        <f t="shared" si="1"/>
        <v>0</v>
      </c>
      <c r="J63" s="67">
        <f t="shared" si="2"/>
        <v>0</v>
      </c>
      <c r="K63" s="68"/>
      <c r="L63" s="62"/>
      <c r="M63" s="69"/>
    </row>
    <row r="64" ht="21.0" customHeight="1">
      <c r="A64" s="17">
        <v>62.0</v>
      </c>
      <c r="B64" s="37" t="s">
        <v>75</v>
      </c>
      <c r="C64" s="38">
        <v>1600.0</v>
      </c>
      <c r="D64" s="39">
        <v>1.0</v>
      </c>
      <c r="E64" s="40">
        <v>1.0</v>
      </c>
      <c r="F64" s="54"/>
      <c r="G64" s="39"/>
      <c r="H64" s="41">
        <v>1.0</v>
      </c>
      <c r="I64" s="23">
        <f t="shared" si="1"/>
        <v>0</v>
      </c>
      <c r="J64" s="24">
        <f t="shared" si="2"/>
        <v>0</v>
      </c>
      <c r="K64" s="25"/>
      <c r="L64" s="39"/>
      <c r="M64" s="42"/>
    </row>
    <row r="65" ht="21.0" customHeight="1">
      <c r="A65" s="56">
        <v>63.0</v>
      </c>
      <c r="B65" s="57" t="s">
        <v>76</v>
      </c>
      <c r="C65" s="58">
        <v>400.0</v>
      </c>
      <c r="D65" s="30">
        <v>1.0</v>
      </c>
      <c r="E65" s="31">
        <v>0.0</v>
      </c>
      <c r="F65" s="55"/>
      <c r="G65" s="30"/>
      <c r="H65" s="32">
        <v>0.0</v>
      </c>
      <c r="I65" s="33">
        <f t="shared" si="1"/>
        <v>0</v>
      </c>
      <c r="J65" s="34">
        <f t="shared" si="2"/>
        <v>0</v>
      </c>
      <c r="K65" s="35"/>
      <c r="L65" s="30"/>
      <c r="M65" s="36"/>
    </row>
    <row r="66" ht="21.0" customHeight="1">
      <c r="A66" s="17">
        <v>64.0</v>
      </c>
      <c r="B66" s="37" t="s">
        <v>77</v>
      </c>
      <c r="C66" s="38">
        <v>400.0</v>
      </c>
      <c r="D66" s="39">
        <v>3.0</v>
      </c>
      <c r="E66" s="40">
        <v>4.0</v>
      </c>
      <c r="F66" s="54"/>
      <c r="G66" s="39"/>
      <c r="H66" s="41">
        <v>4.0</v>
      </c>
      <c r="I66" s="23">
        <f t="shared" si="1"/>
        <v>0</v>
      </c>
      <c r="J66" s="24">
        <f t="shared" si="2"/>
        <v>0</v>
      </c>
      <c r="K66" s="25"/>
      <c r="L66" s="39"/>
      <c r="M66" s="42"/>
    </row>
    <row r="67" ht="21.0" customHeight="1">
      <c r="A67" s="56">
        <v>65.0</v>
      </c>
      <c r="B67" s="57" t="s">
        <v>78</v>
      </c>
      <c r="C67" s="58">
        <v>1300.0</v>
      </c>
      <c r="D67" s="30">
        <v>0.0</v>
      </c>
      <c r="E67" s="31">
        <v>1.0</v>
      </c>
      <c r="F67" s="55"/>
      <c r="G67" s="30"/>
      <c r="H67" s="32">
        <v>1.0</v>
      </c>
      <c r="I67" s="33">
        <f t="shared" si="1"/>
        <v>0</v>
      </c>
      <c r="J67" s="34">
        <f t="shared" si="2"/>
        <v>0</v>
      </c>
      <c r="K67" s="35"/>
      <c r="L67" s="30"/>
      <c r="M67" s="36"/>
    </row>
    <row r="68" ht="21.0" customHeight="1">
      <c r="A68" s="17">
        <v>66.0</v>
      </c>
      <c r="B68" s="37" t="s">
        <v>79</v>
      </c>
      <c r="C68" s="38">
        <v>250.0</v>
      </c>
      <c r="D68" s="39">
        <v>0.0</v>
      </c>
      <c r="E68" s="40">
        <v>0.0</v>
      </c>
      <c r="F68" s="54"/>
      <c r="G68" s="39"/>
      <c r="H68" s="41">
        <v>0.0</v>
      </c>
      <c r="I68" s="23">
        <f t="shared" si="1"/>
        <v>0</v>
      </c>
      <c r="J68" s="24">
        <f t="shared" si="2"/>
        <v>0</v>
      </c>
      <c r="K68" s="25"/>
      <c r="L68" s="39"/>
      <c r="M68" s="42"/>
    </row>
    <row r="69" ht="21.0" customHeight="1">
      <c r="A69" s="56">
        <v>67.0</v>
      </c>
      <c r="B69" s="57" t="s">
        <v>80</v>
      </c>
      <c r="C69" s="58">
        <v>350.0</v>
      </c>
      <c r="D69" s="30">
        <v>3.0</v>
      </c>
      <c r="E69" s="31">
        <v>3.0</v>
      </c>
      <c r="F69" s="55"/>
      <c r="G69" s="30"/>
      <c r="H69" s="32">
        <v>3.0</v>
      </c>
      <c r="I69" s="33">
        <f t="shared" si="1"/>
        <v>0</v>
      </c>
      <c r="J69" s="34">
        <f t="shared" si="2"/>
        <v>0</v>
      </c>
      <c r="K69" s="35"/>
      <c r="L69" s="30"/>
      <c r="M69" s="36"/>
    </row>
    <row r="70" ht="21.0" customHeight="1">
      <c r="A70" s="17">
        <v>68.0</v>
      </c>
      <c r="B70" s="37" t="s">
        <v>81</v>
      </c>
      <c r="C70" s="38">
        <v>400.0</v>
      </c>
      <c r="D70" s="39">
        <v>3.0</v>
      </c>
      <c r="E70" s="40">
        <v>4.0</v>
      </c>
      <c r="F70" s="54"/>
      <c r="G70" s="39"/>
      <c r="H70" s="41">
        <v>4.0</v>
      </c>
      <c r="I70" s="23">
        <f t="shared" si="1"/>
        <v>0</v>
      </c>
      <c r="J70" s="24">
        <f t="shared" si="2"/>
        <v>0</v>
      </c>
      <c r="K70" s="25"/>
      <c r="L70" s="39"/>
      <c r="M70" s="42"/>
    </row>
    <row r="71" ht="21.0" customHeight="1">
      <c r="A71" s="56">
        <v>69.0</v>
      </c>
      <c r="B71" s="57" t="s">
        <v>82</v>
      </c>
      <c r="C71" s="58">
        <v>400.0</v>
      </c>
      <c r="D71" s="30">
        <v>3.0</v>
      </c>
      <c r="E71" s="31">
        <v>3.0</v>
      </c>
      <c r="F71" s="55"/>
      <c r="G71" s="30"/>
      <c r="H71" s="32">
        <v>3.0</v>
      </c>
      <c r="I71" s="33">
        <f t="shared" si="1"/>
        <v>0</v>
      </c>
      <c r="J71" s="34">
        <f t="shared" si="2"/>
        <v>0</v>
      </c>
      <c r="K71" s="35"/>
      <c r="L71" s="30"/>
      <c r="M71" s="36"/>
    </row>
    <row r="72" ht="21.0" customHeight="1">
      <c r="A72" s="17">
        <v>70.0</v>
      </c>
      <c r="B72" s="37" t="s">
        <v>83</v>
      </c>
      <c r="C72" s="38">
        <v>450.0</v>
      </c>
      <c r="D72" s="39">
        <v>3.0</v>
      </c>
      <c r="E72" s="40">
        <v>5.0</v>
      </c>
      <c r="F72" s="54"/>
      <c r="G72" s="39"/>
      <c r="H72" s="41">
        <v>5.0</v>
      </c>
      <c r="I72" s="23">
        <f t="shared" si="1"/>
        <v>0</v>
      </c>
      <c r="J72" s="24">
        <f t="shared" si="2"/>
        <v>0</v>
      </c>
      <c r="K72" s="25"/>
      <c r="L72" s="39"/>
      <c r="M72" s="42"/>
    </row>
    <row r="73" ht="21.0" customHeight="1">
      <c r="A73" s="56">
        <v>71.0</v>
      </c>
      <c r="B73" s="57" t="s">
        <v>84</v>
      </c>
      <c r="C73" s="58">
        <v>550.0</v>
      </c>
      <c r="D73" s="30">
        <v>3.0</v>
      </c>
      <c r="E73" s="31">
        <v>3.0</v>
      </c>
      <c r="F73" s="55"/>
      <c r="G73" s="30"/>
      <c r="H73" s="32">
        <v>3.0</v>
      </c>
      <c r="I73" s="33">
        <f t="shared" si="1"/>
        <v>0</v>
      </c>
      <c r="J73" s="34">
        <f t="shared" si="2"/>
        <v>0</v>
      </c>
      <c r="K73" s="35"/>
      <c r="L73" s="30"/>
      <c r="M73" s="36"/>
    </row>
    <row r="74" ht="21.0" customHeight="1">
      <c r="A74" s="17">
        <v>72.0</v>
      </c>
      <c r="B74" s="37" t="s">
        <v>85</v>
      </c>
      <c r="C74" s="38">
        <v>1600.0</v>
      </c>
      <c r="D74" s="39">
        <v>2.0</v>
      </c>
      <c r="E74" s="40">
        <v>2.0</v>
      </c>
      <c r="F74" s="54"/>
      <c r="G74" s="39"/>
      <c r="H74" s="41">
        <v>2.0</v>
      </c>
      <c r="I74" s="23">
        <f t="shared" si="1"/>
        <v>0</v>
      </c>
      <c r="J74" s="24">
        <f t="shared" si="2"/>
        <v>0</v>
      </c>
      <c r="K74" s="25"/>
      <c r="L74" s="39"/>
      <c r="M74" s="42"/>
    </row>
    <row r="75" ht="21.0" customHeight="1">
      <c r="A75" s="56">
        <v>73.0</v>
      </c>
      <c r="B75" s="57" t="s">
        <v>86</v>
      </c>
      <c r="C75" s="58">
        <v>150.0</v>
      </c>
      <c r="D75" s="30">
        <v>4.0</v>
      </c>
      <c r="E75" s="31">
        <v>6.0</v>
      </c>
      <c r="F75" s="55"/>
      <c r="G75" s="30"/>
      <c r="H75" s="32">
        <v>6.0</v>
      </c>
      <c r="I75" s="33">
        <f t="shared" si="1"/>
        <v>0</v>
      </c>
      <c r="J75" s="34">
        <f t="shared" si="2"/>
        <v>0</v>
      </c>
      <c r="K75" s="35"/>
      <c r="L75" s="30"/>
      <c r="M75" s="36"/>
    </row>
    <row r="76" ht="21.0" customHeight="1">
      <c r="A76" s="17">
        <v>74.0</v>
      </c>
      <c r="B76" s="37" t="s">
        <v>87</v>
      </c>
      <c r="C76" s="38">
        <v>100.0</v>
      </c>
      <c r="D76" s="39">
        <v>4.0</v>
      </c>
      <c r="E76" s="40">
        <v>2.0</v>
      </c>
      <c r="F76" s="70">
        <v>4.0</v>
      </c>
      <c r="G76" s="39"/>
      <c r="H76" s="41">
        <v>4.0</v>
      </c>
      <c r="I76" s="23">
        <f t="shared" si="1"/>
        <v>2</v>
      </c>
      <c r="J76" s="24">
        <f t="shared" si="2"/>
        <v>200</v>
      </c>
      <c r="K76" s="25"/>
      <c r="L76" s="39"/>
      <c r="M76" s="42"/>
    </row>
    <row r="77" ht="21.0" customHeight="1">
      <c r="A77" s="56">
        <v>75.0</v>
      </c>
      <c r="B77" s="57" t="s">
        <v>88</v>
      </c>
      <c r="C77" s="58">
        <v>150.0</v>
      </c>
      <c r="D77" s="30">
        <v>1.0</v>
      </c>
      <c r="E77" s="31">
        <v>4.0</v>
      </c>
      <c r="F77" s="55"/>
      <c r="G77" s="30"/>
      <c r="H77" s="32">
        <v>4.0</v>
      </c>
      <c r="I77" s="33">
        <f t="shared" si="1"/>
        <v>0</v>
      </c>
      <c r="J77" s="34">
        <f t="shared" si="2"/>
        <v>0</v>
      </c>
      <c r="K77" s="35"/>
      <c r="L77" s="30"/>
      <c r="M77" s="36"/>
    </row>
    <row r="78" ht="21.0" customHeight="1">
      <c r="A78" s="17">
        <v>76.0</v>
      </c>
      <c r="B78" s="37" t="s">
        <v>89</v>
      </c>
      <c r="C78" s="38">
        <v>200.0</v>
      </c>
      <c r="D78" s="39">
        <v>1.0</v>
      </c>
      <c r="E78" s="40">
        <v>9.0</v>
      </c>
      <c r="F78" s="54"/>
      <c r="G78" s="39"/>
      <c r="H78" s="41">
        <v>9.0</v>
      </c>
      <c r="I78" s="23">
        <f t="shared" si="1"/>
        <v>0</v>
      </c>
      <c r="J78" s="24">
        <f t="shared" si="2"/>
        <v>0</v>
      </c>
      <c r="K78" s="25"/>
      <c r="L78" s="39"/>
      <c r="M78" s="42"/>
    </row>
    <row r="79" ht="21.0" customHeight="1">
      <c r="A79" s="56">
        <v>77.0</v>
      </c>
      <c r="B79" s="57" t="s">
        <v>90</v>
      </c>
      <c r="C79" s="58">
        <v>250.0</v>
      </c>
      <c r="D79" s="30">
        <v>1.0</v>
      </c>
      <c r="E79" s="31">
        <v>4.0</v>
      </c>
      <c r="F79" s="55"/>
      <c r="G79" s="30"/>
      <c r="H79" s="32">
        <v>4.0</v>
      </c>
      <c r="I79" s="33">
        <f t="shared" si="1"/>
        <v>0</v>
      </c>
      <c r="J79" s="34">
        <f t="shared" si="2"/>
        <v>0</v>
      </c>
      <c r="K79" s="35"/>
      <c r="L79" s="30"/>
      <c r="M79" s="36"/>
    </row>
    <row r="80" ht="21.0" customHeight="1">
      <c r="A80" s="17">
        <v>78.0</v>
      </c>
      <c r="B80" s="37" t="s">
        <v>91</v>
      </c>
      <c r="C80" s="38">
        <v>450.0</v>
      </c>
      <c r="D80" s="39">
        <v>1.0</v>
      </c>
      <c r="E80" s="40">
        <v>3.0</v>
      </c>
      <c r="F80" s="54"/>
      <c r="G80" s="39"/>
      <c r="H80" s="41">
        <v>3.0</v>
      </c>
      <c r="I80" s="23">
        <f t="shared" si="1"/>
        <v>0</v>
      </c>
      <c r="J80" s="24">
        <f t="shared" si="2"/>
        <v>0</v>
      </c>
      <c r="K80" s="25"/>
      <c r="L80" s="39"/>
      <c r="M80" s="42"/>
    </row>
    <row r="81" ht="21.0" customHeight="1">
      <c r="A81" s="56">
        <v>79.0</v>
      </c>
      <c r="B81" s="57" t="s">
        <v>92</v>
      </c>
      <c r="C81" s="58">
        <v>300.0</v>
      </c>
      <c r="D81" s="30">
        <v>4.0</v>
      </c>
      <c r="E81" s="31">
        <v>4.0</v>
      </c>
      <c r="F81" s="55"/>
      <c r="G81" s="30"/>
      <c r="H81" s="32">
        <v>4.0</v>
      </c>
      <c r="I81" s="33">
        <f t="shared" si="1"/>
        <v>0</v>
      </c>
      <c r="J81" s="34">
        <f t="shared" si="2"/>
        <v>0</v>
      </c>
      <c r="K81" s="35"/>
      <c r="L81" s="30"/>
      <c r="M81" s="36"/>
    </row>
    <row r="82" ht="21.0" customHeight="1">
      <c r="A82" s="17">
        <v>80.0</v>
      </c>
      <c r="B82" s="37" t="s">
        <v>93</v>
      </c>
      <c r="C82" s="38">
        <v>400.0</v>
      </c>
      <c r="D82" s="39">
        <v>3.0</v>
      </c>
      <c r="E82" s="40">
        <v>3.0</v>
      </c>
      <c r="F82" s="54"/>
      <c r="G82" s="39"/>
      <c r="H82" s="41">
        <v>3.0</v>
      </c>
      <c r="I82" s="23">
        <f t="shared" si="1"/>
        <v>0</v>
      </c>
      <c r="J82" s="24">
        <f t="shared" si="2"/>
        <v>0</v>
      </c>
      <c r="K82" s="25"/>
      <c r="L82" s="39"/>
      <c r="M82" s="42"/>
    </row>
    <row r="83" ht="21.0" customHeight="1">
      <c r="A83" s="56">
        <v>81.0</v>
      </c>
      <c r="B83" s="57" t="s">
        <v>94</v>
      </c>
      <c r="C83" s="58">
        <v>500.0</v>
      </c>
      <c r="D83" s="30">
        <v>1.0</v>
      </c>
      <c r="E83" s="31">
        <v>5.0</v>
      </c>
      <c r="F83" s="55"/>
      <c r="G83" s="30"/>
      <c r="H83" s="32">
        <v>5.0</v>
      </c>
      <c r="I83" s="33">
        <f t="shared" si="1"/>
        <v>0</v>
      </c>
      <c r="J83" s="34">
        <f t="shared" si="2"/>
        <v>0</v>
      </c>
      <c r="K83" s="35"/>
      <c r="L83" s="30"/>
      <c r="M83" s="36"/>
    </row>
    <row r="84" ht="21.0" customHeight="1">
      <c r="A84" s="17">
        <v>82.0</v>
      </c>
      <c r="B84" s="37" t="s">
        <v>95</v>
      </c>
      <c r="C84" s="38">
        <v>1500.0</v>
      </c>
      <c r="D84" s="39">
        <v>1.0</v>
      </c>
      <c r="E84" s="40">
        <v>1.0</v>
      </c>
      <c r="F84" s="54"/>
      <c r="G84" s="39"/>
      <c r="H84" s="41">
        <v>1.0</v>
      </c>
      <c r="I84" s="23">
        <f t="shared" si="1"/>
        <v>0</v>
      </c>
      <c r="J84" s="24">
        <f t="shared" si="2"/>
        <v>0</v>
      </c>
      <c r="K84" s="25"/>
      <c r="L84" s="39"/>
      <c r="M84" s="42"/>
    </row>
    <row r="85" ht="21.0" customHeight="1">
      <c r="A85" s="56">
        <v>83.0</v>
      </c>
      <c r="B85" s="57" t="s">
        <v>96</v>
      </c>
      <c r="C85" s="58">
        <v>300.0</v>
      </c>
      <c r="D85" s="30">
        <v>2.0</v>
      </c>
      <c r="E85" s="31">
        <v>1.0</v>
      </c>
      <c r="F85" s="55"/>
      <c r="G85" s="30"/>
      <c r="H85" s="32">
        <v>1.0</v>
      </c>
      <c r="I85" s="33">
        <f t="shared" si="1"/>
        <v>0</v>
      </c>
      <c r="J85" s="34">
        <f t="shared" si="2"/>
        <v>0</v>
      </c>
      <c r="K85" s="35"/>
      <c r="L85" s="30"/>
      <c r="M85" s="36"/>
    </row>
    <row r="86" ht="21.0" customHeight="1">
      <c r="A86" s="17">
        <v>84.0</v>
      </c>
      <c r="B86" s="37" t="s">
        <v>97</v>
      </c>
      <c r="C86" s="38">
        <v>400.0</v>
      </c>
      <c r="D86" s="39">
        <v>2.0</v>
      </c>
      <c r="E86" s="40">
        <v>0.0</v>
      </c>
      <c r="F86" s="54"/>
      <c r="G86" s="39"/>
      <c r="H86" s="41">
        <v>0.0</v>
      </c>
      <c r="I86" s="23">
        <f t="shared" si="1"/>
        <v>0</v>
      </c>
      <c r="J86" s="24">
        <f t="shared" si="2"/>
        <v>0</v>
      </c>
      <c r="K86" s="25"/>
      <c r="L86" s="39"/>
      <c r="M86" s="42"/>
    </row>
    <row r="87" ht="21.0" customHeight="1">
      <c r="A87" s="56">
        <v>85.0</v>
      </c>
      <c r="B87" s="57" t="s">
        <v>98</v>
      </c>
      <c r="C87" s="58">
        <v>500.0</v>
      </c>
      <c r="D87" s="30">
        <v>2.0</v>
      </c>
      <c r="E87" s="31">
        <v>0.0</v>
      </c>
      <c r="F87" s="31">
        <v>1.0</v>
      </c>
      <c r="G87" s="30"/>
      <c r="H87" s="32">
        <v>0.0</v>
      </c>
      <c r="I87" s="33">
        <f t="shared" si="1"/>
        <v>1</v>
      </c>
      <c r="J87" s="34">
        <f t="shared" si="2"/>
        <v>500</v>
      </c>
      <c r="K87" s="35"/>
      <c r="L87" s="30"/>
      <c r="M87" s="36"/>
    </row>
    <row r="88" ht="21.0" customHeight="1">
      <c r="A88" s="17">
        <v>86.0</v>
      </c>
      <c r="B88" s="37" t="s">
        <v>99</v>
      </c>
      <c r="C88" s="38">
        <v>200.0</v>
      </c>
      <c r="D88" s="39">
        <v>3.0</v>
      </c>
      <c r="E88" s="40">
        <v>5.0</v>
      </c>
      <c r="F88" s="54"/>
      <c r="G88" s="39"/>
      <c r="H88" s="41">
        <v>5.0</v>
      </c>
      <c r="I88" s="23">
        <f t="shared" si="1"/>
        <v>0</v>
      </c>
      <c r="J88" s="24">
        <f t="shared" si="2"/>
        <v>0</v>
      </c>
      <c r="K88" s="25"/>
      <c r="L88" s="39"/>
      <c r="M88" s="42"/>
    </row>
    <row r="89" ht="21.0" customHeight="1">
      <c r="A89" s="56">
        <v>87.0</v>
      </c>
      <c r="B89" s="57" t="s">
        <v>100</v>
      </c>
      <c r="C89" s="58">
        <v>200.0</v>
      </c>
      <c r="D89" s="30">
        <v>2.0</v>
      </c>
      <c r="E89" s="31">
        <v>4.0</v>
      </c>
      <c r="F89" s="55"/>
      <c r="G89" s="30"/>
      <c r="H89" s="32">
        <v>4.0</v>
      </c>
      <c r="I89" s="33">
        <f t="shared" si="1"/>
        <v>0</v>
      </c>
      <c r="J89" s="34">
        <f t="shared" si="2"/>
        <v>0</v>
      </c>
      <c r="K89" s="35"/>
      <c r="L89" s="30"/>
      <c r="M89" s="36"/>
    </row>
    <row r="90" ht="21.0" customHeight="1">
      <c r="A90" s="17">
        <v>88.0</v>
      </c>
      <c r="B90" s="37" t="s">
        <v>101</v>
      </c>
      <c r="C90" s="38">
        <v>200.0</v>
      </c>
      <c r="D90" s="39">
        <v>4.0</v>
      </c>
      <c r="E90" s="40">
        <v>0.0</v>
      </c>
      <c r="F90" s="54"/>
      <c r="G90" s="39"/>
      <c r="H90" s="41">
        <v>0.0</v>
      </c>
      <c r="I90" s="23">
        <f t="shared" si="1"/>
        <v>0</v>
      </c>
      <c r="J90" s="24">
        <f t="shared" si="2"/>
        <v>0</v>
      </c>
      <c r="K90" s="25"/>
      <c r="L90" s="39"/>
      <c r="M90" s="42"/>
    </row>
    <row r="91" ht="21.0" customHeight="1">
      <c r="A91" s="56">
        <v>89.0</v>
      </c>
      <c r="B91" s="57" t="s">
        <v>102</v>
      </c>
      <c r="C91" s="58">
        <v>200.0</v>
      </c>
      <c r="D91" s="30">
        <v>2.0</v>
      </c>
      <c r="E91" s="31">
        <v>3.0</v>
      </c>
      <c r="F91" s="31">
        <v>3.0</v>
      </c>
      <c r="G91" s="30"/>
      <c r="H91" s="32">
        <v>6.0</v>
      </c>
      <c r="I91" s="33">
        <f t="shared" si="1"/>
        <v>0</v>
      </c>
      <c r="J91" s="34">
        <f t="shared" si="2"/>
        <v>0</v>
      </c>
      <c r="K91" s="35"/>
      <c r="L91" s="30"/>
      <c r="M91" s="36"/>
    </row>
    <row r="92" ht="21.0" customHeight="1">
      <c r="A92" s="17">
        <v>90.0</v>
      </c>
      <c r="B92" s="37" t="s">
        <v>103</v>
      </c>
      <c r="C92" s="38">
        <v>150.0</v>
      </c>
      <c r="D92" s="39">
        <v>1.0</v>
      </c>
      <c r="E92" s="40">
        <v>6.0</v>
      </c>
      <c r="F92" s="54"/>
      <c r="G92" s="39"/>
      <c r="H92" s="41">
        <v>6.0</v>
      </c>
      <c r="I92" s="23">
        <f t="shared" si="1"/>
        <v>0</v>
      </c>
      <c r="J92" s="24">
        <f t="shared" si="2"/>
        <v>0</v>
      </c>
      <c r="K92" s="25"/>
      <c r="L92" s="39"/>
      <c r="M92" s="42"/>
    </row>
    <row r="93" ht="21.0" customHeight="1">
      <c r="A93" s="56">
        <v>91.0</v>
      </c>
      <c r="B93" s="57" t="s">
        <v>104</v>
      </c>
      <c r="C93" s="58">
        <v>100.0</v>
      </c>
      <c r="D93" s="30">
        <v>4.0</v>
      </c>
      <c r="E93" s="31">
        <v>8.0</v>
      </c>
      <c r="F93" s="55"/>
      <c r="G93" s="30"/>
      <c r="H93" s="32">
        <v>8.0</v>
      </c>
      <c r="I93" s="33">
        <f t="shared" si="1"/>
        <v>0</v>
      </c>
      <c r="J93" s="34">
        <f t="shared" si="2"/>
        <v>0</v>
      </c>
      <c r="K93" s="35"/>
      <c r="L93" s="30"/>
      <c r="M93" s="36"/>
    </row>
    <row r="94" ht="21.0" customHeight="1">
      <c r="A94" s="17">
        <v>92.0</v>
      </c>
      <c r="B94" s="37" t="s">
        <v>105</v>
      </c>
      <c r="C94" s="38">
        <v>150.0</v>
      </c>
      <c r="D94" s="39">
        <v>2.0</v>
      </c>
      <c r="E94" s="40">
        <v>6.0</v>
      </c>
      <c r="F94" s="54"/>
      <c r="G94" s="39"/>
      <c r="H94" s="41">
        <v>6.0</v>
      </c>
      <c r="I94" s="23">
        <f t="shared" si="1"/>
        <v>0</v>
      </c>
      <c r="J94" s="24">
        <f t="shared" si="2"/>
        <v>0</v>
      </c>
      <c r="K94" s="25"/>
      <c r="L94" s="39"/>
      <c r="M94" s="42"/>
    </row>
    <row r="95" ht="21.0" customHeight="1">
      <c r="A95" s="56">
        <v>93.0</v>
      </c>
      <c r="B95" s="57" t="s">
        <v>106</v>
      </c>
      <c r="C95" s="58">
        <v>200.0</v>
      </c>
      <c r="D95" s="30">
        <v>2.0</v>
      </c>
      <c r="E95" s="31">
        <v>4.0</v>
      </c>
      <c r="F95" s="31">
        <v>2.0</v>
      </c>
      <c r="G95" s="30"/>
      <c r="H95" s="32">
        <v>6.0</v>
      </c>
      <c r="I95" s="33">
        <f t="shared" si="1"/>
        <v>0</v>
      </c>
      <c r="J95" s="34">
        <f t="shared" si="2"/>
        <v>0</v>
      </c>
      <c r="K95" s="35"/>
      <c r="L95" s="30"/>
      <c r="M95" s="36"/>
    </row>
    <row r="96" ht="21.0" customHeight="1">
      <c r="A96" s="17">
        <v>94.0</v>
      </c>
      <c r="B96" s="37" t="s">
        <v>107</v>
      </c>
      <c r="C96" s="38">
        <v>150.0</v>
      </c>
      <c r="D96" s="39">
        <v>4.0</v>
      </c>
      <c r="E96" s="40">
        <v>6.0</v>
      </c>
      <c r="F96" s="54"/>
      <c r="G96" s="39"/>
      <c r="H96" s="41">
        <v>6.0</v>
      </c>
      <c r="I96" s="23">
        <f t="shared" si="1"/>
        <v>0</v>
      </c>
      <c r="J96" s="24">
        <f t="shared" si="2"/>
        <v>0</v>
      </c>
      <c r="K96" s="25"/>
      <c r="L96" s="39"/>
      <c r="M96" s="42"/>
    </row>
    <row r="97" ht="21.0" customHeight="1">
      <c r="A97" s="56">
        <v>95.0</v>
      </c>
      <c r="B97" s="57" t="s">
        <v>108</v>
      </c>
      <c r="C97" s="58">
        <v>200.0</v>
      </c>
      <c r="D97" s="30">
        <v>2.0</v>
      </c>
      <c r="E97" s="31">
        <v>6.0</v>
      </c>
      <c r="F97" s="55"/>
      <c r="G97" s="30"/>
      <c r="H97" s="32">
        <v>6.0</v>
      </c>
      <c r="I97" s="33">
        <f t="shared" si="1"/>
        <v>0</v>
      </c>
      <c r="J97" s="34">
        <f t="shared" si="2"/>
        <v>0</v>
      </c>
      <c r="K97" s="35"/>
      <c r="L97" s="30"/>
      <c r="M97" s="36"/>
    </row>
    <row r="98" ht="21.0" customHeight="1">
      <c r="A98" s="17">
        <v>96.0</v>
      </c>
      <c r="B98" s="37" t="s">
        <v>109</v>
      </c>
      <c r="C98" s="38">
        <v>250.0</v>
      </c>
      <c r="D98" s="39">
        <v>3.0</v>
      </c>
      <c r="E98" s="40">
        <v>1.0</v>
      </c>
      <c r="F98" s="54"/>
      <c r="G98" s="39"/>
      <c r="H98" s="41">
        <v>1.0</v>
      </c>
      <c r="I98" s="23">
        <f t="shared" si="1"/>
        <v>0</v>
      </c>
      <c r="J98" s="24">
        <f t="shared" si="2"/>
        <v>0</v>
      </c>
      <c r="K98" s="25"/>
      <c r="L98" s="39"/>
      <c r="M98" s="42"/>
    </row>
    <row r="99" ht="21.0" customHeight="1">
      <c r="A99" s="56">
        <v>97.0</v>
      </c>
      <c r="B99" s="57" t="s">
        <v>110</v>
      </c>
      <c r="C99" s="58">
        <v>300.0</v>
      </c>
      <c r="D99" s="43">
        <v>2.0</v>
      </c>
      <c r="E99" s="44">
        <v>2.0</v>
      </c>
      <c r="F99" s="52"/>
      <c r="G99" s="43"/>
      <c r="H99" s="45">
        <v>2.0</v>
      </c>
      <c r="I99" s="33">
        <f t="shared" si="1"/>
        <v>0</v>
      </c>
      <c r="J99" s="34">
        <f t="shared" si="2"/>
        <v>0</v>
      </c>
      <c r="K99" s="35"/>
      <c r="L99" s="43"/>
      <c r="M99" s="46"/>
    </row>
    <row r="100" ht="21.0" customHeight="1">
      <c r="A100" s="17">
        <v>98.0</v>
      </c>
      <c r="B100" s="37" t="s">
        <v>111</v>
      </c>
      <c r="C100" s="38">
        <v>300.0</v>
      </c>
      <c r="D100" s="47">
        <v>1.0</v>
      </c>
      <c r="E100" s="48">
        <v>0.5</v>
      </c>
      <c r="F100" s="48">
        <v>1.5</v>
      </c>
      <c r="G100" s="47"/>
      <c r="H100" s="49">
        <v>2.0</v>
      </c>
      <c r="I100" s="23">
        <f t="shared" si="1"/>
        <v>0</v>
      </c>
      <c r="J100" s="24">
        <f t="shared" si="2"/>
        <v>0</v>
      </c>
      <c r="K100" s="25"/>
      <c r="L100" s="47"/>
      <c r="M100" s="50"/>
    </row>
    <row r="101" ht="21.0" customHeight="1">
      <c r="A101" s="56">
        <v>99.0</v>
      </c>
      <c r="B101" s="57" t="s">
        <v>112</v>
      </c>
      <c r="C101" s="58">
        <v>150.0</v>
      </c>
      <c r="D101" s="30">
        <v>2.0</v>
      </c>
      <c r="E101" s="31">
        <v>1.0</v>
      </c>
      <c r="F101" s="55"/>
      <c r="G101" s="30"/>
      <c r="H101" s="32">
        <v>1.0</v>
      </c>
      <c r="I101" s="33">
        <f t="shared" si="1"/>
        <v>0</v>
      </c>
      <c r="J101" s="34">
        <f t="shared" si="2"/>
        <v>0</v>
      </c>
      <c r="K101" s="35"/>
      <c r="L101" s="30"/>
      <c r="M101" s="36"/>
    </row>
    <row r="102" ht="21.0" customHeight="1">
      <c r="A102" s="17">
        <v>100.0</v>
      </c>
      <c r="B102" s="37" t="s">
        <v>113</v>
      </c>
      <c r="C102" s="38">
        <v>1500.0</v>
      </c>
      <c r="D102" s="39">
        <v>1.0</v>
      </c>
      <c r="E102" s="40">
        <v>0.0</v>
      </c>
      <c r="F102" s="40">
        <v>1.0</v>
      </c>
      <c r="G102" s="39"/>
      <c r="H102" s="41">
        <v>1.0</v>
      </c>
      <c r="I102" s="23">
        <f t="shared" si="1"/>
        <v>0</v>
      </c>
      <c r="J102" s="24">
        <f t="shared" si="2"/>
        <v>0</v>
      </c>
      <c r="K102" s="25"/>
      <c r="L102" s="39"/>
      <c r="M102" s="42"/>
    </row>
    <row r="103" ht="21.0" customHeight="1">
      <c r="A103" s="56">
        <v>101.0</v>
      </c>
      <c r="B103" s="57" t="s">
        <v>114</v>
      </c>
      <c r="C103" s="58">
        <v>1800.0</v>
      </c>
      <c r="D103" s="30">
        <v>1.0</v>
      </c>
      <c r="E103" s="31">
        <v>2.0</v>
      </c>
      <c r="F103" s="55"/>
      <c r="G103" s="30"/>
      <c r="H103" s="32">
        <v>2.0</v>
      </c>
      <c r="I103" s="33">
        <f t="shared" si="1"/>
        <v>0</v>
      </c>
      <c r="J103" s="34">
        <f t="shared" si="2"/>
        <v>0</v>
      </c>
      <c r="K103" s="35"/>
      <c r="L103" s="30"/>
      <c r="M103" s="36"/>
    </row>
    <row r="104" ht="21.0" customHeight="1">
      <c r="A104" s="17">
        <v>102.0</v>
      </c>
      <c r="B104" s="37" t="s">
        <v>115</v>
      </c>
      <c r="C104" s="38">
        <v>200.0</v>
      </c>
      <c r="D104" s="39">
        <v>1.0</v>
      </c>
      <c r="E104" s="40">
        <v>1.0</v>
      </c>
      <c r="F104" s="54"/>
      <c r="G104" s="39"/>
      <c r="H104" s="41">
        <v>1.0</v>
      </c>
      <c r="I104" s="23">
        <f t="shared" si="1"/>
        <v>0</v>
      </c>
      <c r="J104" s="24">
        <f t="shared" si="2"/>
        <v>0</v>
      </c>
      <c r="K104" s="25"/>
      <c r="L104" s="39"/>
      <c r="M104" s="42"/>
    </row>
    <row r="105" ht="21.0" customHeight="1">
      <c r="A105" s="56">
        <v>103.0</v>
      </c>
      <c r="B105" s="71" t="s">
        <v>116</v>
      </c>
      <c r="C105" s="58">
        <v>150.0</v>
      </c>
      <c r="D105" s="30">
        <v>1.0</v>
      </c>
      <c r="E105" s="31">
        <v>0.0</v>
      </c>
      <c r="F105" s="55"/>
      <c r="G105" s="30"/>
      <c r="H105" s="32">
        <v>0.0</v>
      </c>
      <c r="I105" s="33">
        <f t="shared" si="1"/>
        <v>0</v>
      </c>
      <c r="J105" s="34">
        <f t="shared" si="2"/>
        <v>0</v>
      </c>
      <c r="K105" s="35"/>
      <c r="L105" s="30"/>
      <c r="M105" s="36"/>
    </row>
    <row r="106" ht="21.0" customHeight="1">
      <c r="A106" s="17">
        <v>104.0</v>
      </c>
      <c r="B106" s="37" t="s">
        <v>117</v>
      </c>
      <c r="C106" s="38">
        <v>150.0</v>
      </c>
      <c r="D106" s="39">
        <v>2.0</v>
      </c>
      <c r="E106" s="40">
        <v>1.0</v>
      </c>
      <c r="F106" s="54"/>
      <c r="G106" s="39"/>
      <c r="H106" s="41">
        <v>1.0</v>
      </c>
      <c r="I106" s="23">
        <f t="shared" si="1"/>
        <v>0</v>
      </c>
      <c r="J106" s="24">
        <f t="shared" si="2"/>
        <v>0</v>
      </c>
      <c r="K106" s="25"/>
      <c r="L106" s="39"/>
      <c r="M106" s="42"/>
    </row>
    <row r="107" ht="21.0" customHeight="1">
      <c r="A107" s="56">
        <v>105.0</v>
      </c>
      <c r="B107" s="57" t="s">
        <v>118</v>
      </c>
      <c r="C107" s="58">
        <v>200.0</v>
      </c>
      <c r="D107" s="30">
        <v>1.0</v>
      </c>
      <c r="E107" s="31">
        <v>1.0</v>
      </c>
      <c r="F107" s="55"/>
      <c r="G107" s="30"/>
      <c r="H107" s="32">
        <v>1.0</v>
      </c>
      <c r="I107" s="33">
        <f t="shared" si="1"/>
        <v>0</v>
      </c>
      <c r="J107" s="34">
        <f t="shared" si="2"/>
        <v>0</v>
      </c>
      <c r="K107" s="35"/>
      <c r="L107" s="30"/>
      <c r="M107" s="36"/>
    </row>
    <row r="108" ht="21.0" customHeight="1">
      <c r="A108" s="17">
        <v>106.0</v>
      </c>
      <c r="B108" s="37" t="s">
        <v>119</v>
      </c>
      <c r="C108" s="38">
        <v>400.0</v>
      </c>
      <c r="D108" s="47">
        <v>2.0</v>
      </c>
      <c r="E108" s="48">
        <v>2.0</v>
      </c>
      <c r="F108" s="51"/>
      <c r="G108" s="47"/>
      <c r="H108" s="49">
        <v>2.0</v>
      </c>
      <c r="I108" s="23">
        <f t="shared" si="1"/>
        <v>0</v>
      </c>
      <c r="J108" s="24">
        <f t="shared" si="2"/>
        <v>0</v>
      </c>
      <c r="K108" s="25"/>
      <c r="L108" s="47"/>
      <c r="M108" s="50"/>
    </row>
    <row r="109" ht="21.0" customHeight="1">
      <c r="A109" s="56">
        <v>107.0</v>
      </c>
      <c r="B109" s="57" t="s">
        <v>120</v>
      </c>
      <c r="C109" s="58">
        <v>200.0</v>
      </c>
      <c r="D109" s="43">
        <v>5.0</v>
      </c>
      <c r="E109" s="44">
        <v>0.0</v>
      </c>
      <c r="F109" s="52"/>
      <c r="G109" s="43"/>
      <c r="H109" s="45">
        <v>0.0</v>
      </c>
      <c r="I109" s="33">
        <f t="shared" si="1"/>
        <v>0</v>
      </c>
      <c r="J109" s="34">
        <f t="shared" si="2"/>
        <v>0</v>
      </c>
      <c r="K109" s="35"/>
      <c r="L109" s="43"/>
      <c r="M109" s="46"/>
    </row>
    <row r="110" ht="21.0" customHeight="1">
      <c r="A110" s="17">
        <v>108.0</v>
      </c>
      <c r="B110" s="37" t="s">
        <v>121</v>
      </c>
      <c r="C110" s="38">
        <v>350.0</v>
      </c>
      <c r="D110" s="39">
        <v>3.0</v>
      </c>
      <c r="E110" s="40">
        <v>1.0</v>
      </c>
      <c r="F110" s="54"/>
      <c r="G110" s="39"/>
      <c r="H110" s="41">
        <v>1.0</v>
      </c>
      <c r="I110" s="23">
        <f t="shared" si="1"/>
        <v>0</v>
      </c>
      <c r="J110" s="24">
        <f t="shared" si="2"/>
        <v>0</v>
      </c>
      <c r="K110" s="25"/>
      <c r="L110" s="39"/>
      <c r="M110" s="42"/>
    </row>
    <row r="111" ht="21.0" customHeight="1">
      <c r="A111" s="56">
        <v>109.0</v>
      </c>
      <c r="B111" s="57" t="s">
        <v>122</v>
      </c>
      <c r="C111" s="58">
        <v>250.0</v>
      </c>
      <c r="D111" s="30">
        <v>1.0</v>
      </c>
      <c r="E111" s="31">
        <v>0.0</v>
      </c>
      <c r="F111" s="55"/>
      <c r="G111" s="30"/>
      <c r="H111" s="32">
        <v>0.0</v>
      </c>
      <c r="I111" s="33">
        <f t="shared" si="1"/>
        <v>0</v>
      </c>
      <c r="J111" s="34">
        <f t="shared" si="2"/>
        <v>0</v>
      </c>
      <c r="K111" s="35"/>
      <c r="L111" s="30"/>
      <c r="M111" s="36"/>
    </row>
    <row r="112" ht="21.0" customHeight="1">
      <c r="A112" s="17">
        <v>110.0</v>
      </c>
      <c r="B112" s="37" t="s">
        <v>123</v>
      </c>
      <c r="C112" s="38">
        <v>550.0</v>
      </c>
      <c r="D112" s="39">
        <v>1.0</v>
      </c>
      <c r="E112" s="40">
        <v>0.0</v>
      </c>
      <c r="F112" s="54"/>
      <c r="G112" s="39"/>
      <c r="H112" s="41">
        <v>0.0</v>
      </c>
      <c r="I112" s="23">
        <f t="shared" si="1"/>
        <v>0</v>
      </c>
      <c r="J112" s="24">
        <f t="shared" si="2"/>
        <v>0</v>
      </c>
      <c r="K112" s="25"/>
      <c r="L112" s="39"/>
      <c r="M112" s="42"/>
    </row>
    <row r="113" ht="21.0" customHeight="1">
      <c r="A113" s="56">
        <v>111.0</v>
      </c>
      <c r="B113" s="57" t="s">
        <v>124</v>
      </c>
      <c r="C113" s="58">
        <v>800.0</v>
      </c>
      <c r="D113" s="30">
        <v>1.0</v>
      </c>
      <c r="E113" s="31">
        <v>2.0</v>
      </c>
      <c r="F113" s="55"/>
      <c r="G113" s="30"/>
      <c r="H113" s="32">
        <v>2.0</v>
      </c>
      <c r="I113" s="33">
        <f t="shared" si="1"/>
        <v>0</v>
      </c>
      <c r="J113" s="34">
        <f t="shared" si="2"/>
        <v>0</v>
      </c>
      <c r="K113" s="35"/>
      <c r="L113" s="30"/>
      <c r="M113" s="36"/>
    </row>
    <row r="114" ht="21.0" customHeight="1">
      <c r="A114" s="17">
        <v>112.0</v>
      </c>
      <c r="B114" s="37" t="s">
        <v>125</v>
      </c>
      <c r="C114" s="38">
        <v>2000.0</v>
      </c>
      <c r="D114" s="39">
        <v>1.0</v>
      </c>
      <c r="E114" s="40">
        <v>1.0</v>
      </c>
      <c r="F114" s="54"/>
      <c r="G114" s="39"/>
      <c r="H114" s="41">
        <v>1.0</v>
      </c>
      <c r="I114" s="23">
        <f t="shared" si="1"/>
        <v>0</v>
      </c>
      <c r="J114" s="24">
        <f t="shared" si="2"/>
        <v>0</v>
      </c>
      <c r="K114" s="25"/>
      <c r="L114" s="39"/>
      <c r="M114" s="42"/>
    </row>
    <row r="115" ht="21.0" customHeight="1">
      <c r="A115" s="56">
        <v>113.0</v>
      </c>
      <c r="B115" s="57" t="s">
        <v>126</v>
      </c>
      <c r="C115" s="58">
        <v>300.0</v>
      </c>
      <c r="D115" s="43">
        <v>1.0</v>
      </c>
      <c r="E115" s="44">
        <v>2.0</v>
      </c>
      <c r="F115" s="52"/>
      <c r="G115" s="43"/>
      <c r="H115" s="45">
        <v>2.0</v>
      </c>
      <c r="I115" s="33">
        <f t="shared" si="1"/>
        <v>0</v>
      </c>
      <c r="J115" s="34">
        <f t="shared" si="2"/>
        <v>0</v>
      </c>
      <c r="K115" s="35"/>
      <c r="L115" s="43"/>
      <c r="M115" s="46"/>
    </row>
    <row r="116" ht="21.0" customHeight="1">
      <c r="A116" s="17">
        <v>114.0</v>
      </c>
      <c r="B116" s="37" t="s">
        <v>127</v>
      </c>
      <c r="C116" s="38">
        <v>200.0</v>
      </c>
      <c r="D116" s="39">
        <v>0.0</v>
      </c>
      <c r="E116" s="40">
        <v>1.0</v>
      </c>
      <c r="F116" s="54"/>
      <c r="G116" s="39"/>
      <c r="H116" s="41">
        <v>1.0</v>
      </c>
      <c r="I116" s="23">
        <f t="shared" si="1"/>
        <v>0</v>
      </c>
      <c r="J116" s="24">
        <f t="shared" si="2"/>
        <v>0</v>
      </c>
      <c r="K116" s="25"/>
      <c r="L116" s="39"/>
      <c r="M116" s="42"/>
    </row>
    <row r="117" ht="21.0" customHeight="1">
      <c r="A117" s="56">
        <v>115.0</v>
      </c>
      <c r="B117" s="57" t="s">
        <v>128</v>
      </c>
      <c r="C117" s="58">
        <v>250.0</v>
      </c>
      <c r="D117" s="30">
        <v>0.0</v>
      </c>
      <c r="E117" s="31">
        <v>1.0</v>
      </c>
      <c r="F117" s="55"/>
      <c r="G117" s="30"/>
      <c r="H117" s="32">
        <v>1.0</v>
      </c>
      <c r="I117" s="33">
        <f t="shared" si="1"/>
        <v>0</v>
      </c>
      <c r="J117" s="34">
        <f t="shared" si="2"/>
        <v>0</v>
      </c>
      <c r="K117" s="35"/>
      <c r="L117" s="30"/>
      <c r="M117" s="36"/>
    </row>
    <row r="118" ht="21.0" customHeight="1">
      <c r="A118" s="17">
        <v>116.0</v>
      </c>
      <c r="B118" s="37" t="s">
        <v>129</v>
      </c>
      <c r="C118" s="38">
        <v>250.0</v>
      </c>
      <c r="D118" s="39">
        <v>0.0</v>
      </c>
      <c r="E118" s="40">
        <v>1.0</v>
      </c>
      <c r="F118" s="54"/>
      <c r="G118" s="39"/>
      <c r="H118" s="41">
        <v>1.0</v>
      </c>
      <c r="I118" s="23">
        <f t="shared" si="1"/>
        <v>0</v>
      </c>
      <c r="J118" s="24">
        <f t="shared" si="2"/>
        <v>0</v>
      </c>
      <c r="K118" s="25"/>
      <c r="L118" s="39"/>
      <c r="M118" s="42"/>
    </row>
    <row r="119" ht="21.0" customHeight="1">
      <c r="A119" s="56">
        <v>117.0</v>
      </c>
      <c r="B119" s="57" t="s">
        <v>130</v>
      </c>
      <c r="C119" s="58">
        <v>250.0</v>
      </c>
      <c r="D119" s="30">
        <v>1.0</v>
      </c>
      <c r="E119" s="31">
        <v>1.0</v>
      </c>
      <c r="F119" s="55"/>
      <c r="G119" s="30"/>
      <c r="H119" s="32">
        <v>1.0</v>
      </c>
      <c r="I119" s="33">
        <f t="shared" si="1"/>
        <v>0</v>
      </c>
      <c r="J119" s="34">
        <f t="shared" si="2"/>
        <v>0</v>
      </c>
      <c r="K119" s="35"/>
      <c r="L119" s="30"/>
      <c r="M119" s="36"/>
    </row>
    <row r="120" ht="21.0" customHeight="1">
      <c r="A120" s="17">
        <v>118.0</v>
      </c>
      <c r="B120" s="37" t="s">
        <v>131</v>
      </c>
      <c r="C120" s="38">
        <v>250.0</v>
      </c>
      <c r="D120" s="39">
        <v>1.0</v>
      </c>
      <c r="E120" s="40">
        <v>2.0</v>
      </c>
      <c r="F120" s="54"/>
      <c r="G120" s="39"/>
      <c r="H120" s="41">
        <v>2.0</v>
      </c>
      <c r="I120" s="23">
        <f t="shared" si="1"/>
        <v>0</v>
      </c>
      <c r="J120" s="24">
        <f t="shared" si="2"/>
        <v>0</v>
      </c>
      <c r="K120" s="25"/>
      <c r="L120" s="39"/>
      <c r="M120" s="42"/>
    </row>
    <row r="121" ht="21.0" customHeight="1">
      <c r="A121" s="56">
        <v>119.0</v>
      </c>
      <c r="B121" s="57" t="s">
        <v>132</v>
      </c>
      <c r="C121" s="58">
        <v>750.0</v>
      </c>
      <c r="D121" s="30">
        <v>1.0</v>
      </c>
      <c r="E121" s="31">
        <v>1.0</v>
      </c>
      <c r="F121" s="55"/>
      <c r="G121" s="30"/>
      <c r="H121" s="32">
        <v>1.0</v>
      </c>
      <c r="I121" s="33">
        <f t="shared" si="1"/>
        <v>0</v>
      </c>
      <c r="J121" s="34">
        <f t="shared" si="2"/>
        <v>0</v>
      </c>
      <c r="K121" s="35"/>
      <c r="L121" s="30"/>
      <c r="M121" s="36"/>
    </row>
    <row r="122" ht="21.0" customHeight="1">
      <c r="A122" s="17">
        <v>120.0</v>
      </c>
      <c r="B122" s="37" t="s">
        <v>133</v>
      </c>
      <c r="C122" s="38">
        <v>800.0</v>
      </c>
      <c r="D122" s="39">
        <v>3.0</v>
      </c>
      <c r="E122" s="40">
        <v>1.0</v>
      </c>
      <c r="F122" s="54"/>
      <c r="G122" s="39"/>
      <c r="H122" s="41">
        <v>1.0</v>
      </c>
      <c r="I122" s="23">
        <f t="shared" si="1"/>
        <v>0</v>
      </c>
      <c r="J122" s="24">
        <f t="shared" si="2"/>
        <v>0</v>
      </c>
      <c r="K122" s="25"/>
      <c r="L122" s="39"/>
      <c r="M122" s="42"/>
    </row>
    <row r="123" ht="21.0" customHeight="1">
      <c r="A123" s="56">
        <v>121.0</v>
      </c>
      <c r="B123" s="57" t="s">
        <v>134</v>
      </c>
      <c r="C123" s="58">
        <v>150.0</v>
      </c>
      <c r="D123" s="30">
        <v>2.0</v>
      </c>
      <c r="E123" s="31">
        <v>3.0</v>
      </c>
      <c r="F123" s="31">
        <v>4.0</v>
      </c>
      <c r="G123" s="30"/>
      <c r="H123" s="32">
        <v>7.0</v>
      </c>
      <c r="I123" s="33">
        <f t="shared" si="1"/>
        <v>0</v>
      </c>
      <c r="J123" s="34">
        <f t="shared" si="2"/>
        <v>0</v>
      </c>
      <c r="K123" s="35"/>
      <c r="L123" s="30"/>
      <c r="M123" s="36"/>
    </row>
    <row r="124" ht="21.0" customHeight="1">
      <c r="A124" s="17">
        <v>122.0</v>
      </c>
      <c r="B124" s="37" t="s">
        <v>135</v>
      </c>
      <c r="C124" s="38">
        <v>150.0</v>
      </c>
      <c r="D124" s="39">
        <v>6.0</v>
      </c>
      <c r="E124" s="40">
        <v>4.0</v>
      </c>
      <c r="F124" s="40">
        <v>2.0</v>
      </c>
      <c r="G124" s="72"/>
      <c r="H124" s="41">
        <v>6.0</v>
      </c>
      <c r="I124" s="23">
        <f t="shared" si="1"/>
        <v>0</v>
      </c>
      <c r="J124" s="73">
        <f t="shared" si="2"/>
        <v>0</v>
      </c>
      <c r="K124" s="25"/>
      <c r="L124" s="39"/>
      <c r="M124" s="42"/>
    </row>
    <row r="125" ht="21.0" customHeight="1">
      <c r="B125" s="74"/>
      <c r="J125" s="75">
        <f>SUM(J3:J124)</f>
        <v>4350</v>
      </c>
    </row>
    <row r="126" ht="21.0" customHeight="1">
      <c r="B126" s="74"/>
    </row>
    <row r="127" ht="21.0" customHeight="1">
      <c r="B127" s="74"/>
    </row>
    <row r="128" ht="90.0" customHeight="1">
      <c r="B128" s="74"/>
    </row>
    <row r="129" ht="87.0" customHeight="1">
      <c r="B129" s="74"/>
      <c r="C129" s="76" t="s">
        <v>136</v>
      </c>
      <c r="D129" s="77"/>
      <c r="E129" s="78"/>
      <c r="F129" s="79" t="s">
        <v>137</v>
      </c>
      <c r="G129" s="79"/>
      <c r="H129" s="79"/>
      <c r="I129" s="79"/>
      <c r="J129" s="79"/>
      <c r="K129" s="80"/>
      <c r="L129" s="81" t="s">
        <v>138</v>
      </c>
    </row>
    <row r="130" ht="21.0" customHeight="1">
      <c r="B130" s="74"/>
      <c r="C130" s="82" t="s">
        <v>139</v>
      </c>
      <c r="D130" s="83"/>
      <c r="E130" s="84"/>
      <c r="F130" s="85">
        <v>4350.0</v>
      </c>
      <c r="G130" s="86"/>
      <c r="H130" s="86"/>
      <c r="I130" s="86"/>
      <c r="J130" s="86"/>
      <c r="K130" s="87"/>
      <c r="L130" s="88">
        <f>(E130+F130+G130+H130+I130+J130+K130)-J125</f>
        <v>0</v>
      </c>
    </row>
    <row r="131" ht="21.0" customHeight="1">
      <c r="B131" s="74"/>
      <c r="C131" s="89" t="s">
        <v>140</v>
      </c>
      <c r="D131" s="90"/>
      <c r="E131" s="91"/>
      <c r="F131" s="92">
        <v>100.0</v>
      </c>
      <c r="G131" s="93"/>
      <c r="H131" s="93"/>
      <c r="I131" s="93"/>
      <c r="J131" s="93"/>
      <c r="K131" s="94"/>
      <c r="L131" s="95"/>
    </row>
    <row r="132" ht="21.0" customHeight="1">
      <c r="B132" s="74"/>
      <c r="C132" s="89" t="s">
        <v>141</v>
      </c>
      <c r="D132" s="90"/>
      <c r="E132" s="91"/>
      <c r="F132" s="93"/>
      <c r="G132" s="93"/>
      <c r="H132" s="93"/>
      <c r="I132" s="93"/>
      <c r="J132" s="93"/>
      <c r="K132" s="94"/>
      <c r="L132" s="95"/>
    </row>
    <row r="133" ht="21.0" customHeight="1">
      <c r="B133" s="74"/>
      <c r="C133" s="89" t="s">
        <v>142</v>
      </c>
      <c r="D133" s="90"/>
      <c r="E133" s="91"/>
      <c r="F133" s="93"/>
      <c r="G133" s="93"/>
      <c r="H133" s="93"/>
      <c r="I133" s="93"/>
      <c r="J133" s="93"/>
      <c r="K133" s="94"/>
      <c r="L133" s="95"/>
    </row>
    <row r="134" ht="21.0" customHeight="1">
      <c r="B134" s="74"/>
      <c r="C134" s="89" t="s">
        <v>143</v>
      </c>
      <c r="D134" s="90"/>
      <c r="E134" s="91"/>
      <c r="F134" s="93"/>
      <c r="G134" s="93"/>
      <c r="H134" s="93"/>
      <c r="I134" s="93"/>
      <c r="J134" s="93"/>
      <c r="K134" s="94"/>
      <c r="L134" s="95"/>
    </row>
    <row r="135" ht="21.0" customHeight="1">
      <c r="B135" s="74"/>
      <c r="C135" s="89" t="s">
        <v>144</v>
      </c>
      <c r="D135" s="90"/>
      <c r="E135" s="91"/>
      <c r="F135" s="93"/>
      <c r="G135" s="93"/>
      <c r="H135" s="93"/>
      <c r="I135" s="93"/>
      <c r="J135" s="93"/>
      <c r="K135" s="94"/>
      <c r="L135" s="95"/>
    </row>
    <row r="136" ht="21.0" customHeight="1">
      <c r="B136" s="74"/>
      <c r="C136" s="89" t="s">
        <v>145</v>
      </c>
      <c r="D136" s="96"/>
      <c r="E136" s="91"/>
      <c r="F136" s="93"/>
      <c r="G136" s="93"/>
      <c r="H136" s="93"/>
      <c r="I136" s="93"/>
      <c r="J136" s="93"/>
      <c r="K136" s="94"/>
      <c r="L136" s="95"/>
    </row>
    <row r="137" ht="21.0" customHeight="1">
      <c r="B137" s="74"/>
      <c r="C137" s="89" t="s">
        <v>146</v>
      </c>
      <c r="D137" s="96"/>
      <c r="E137" s="91"/>
      <c r="F137" s="85">
        <v>155.0</v>
      </c>
      <c r="G137" s="93"/>
      <c r="H137" s="93"/>
      <c r="I137" s="93"/>
      <c r="J137" s="93"/>
      <c r="K137" s="94"/>
      <c r="L137" s="95"/>
    </row>
    <row r="138" ht="21.0" customHeight="1">
      <c r="B138" s="74"/>
      <c r="C138" s="89" t="s">
        <v>147</v>
      </c>
      <c r="D138" s="96"/>
      <c r="E138" s="91"/>
      <c r="F138" s="93"/>
      <c r="G138" s="93"/>
      <c r="H138" s="93"/>
      <c r="I138" s="93"/>
      <c r="J138" s="93"/>
      <c r="K138" s="94"/>
      <c r="L138" s="95"/>
    </row>
    <row r="139" ht="21.0" customHeight="1">
      <c r="B139" s="74"/>
      <c r="C139" s="89" t="s">
        <v>148</v>
      </c>
      <c r="D139" s="96"/>
      <c r="E139" s="91"/>
      <c r="F139" s="93"/>
      <c r="G139" s="93"/>
      <c r="H139" s="93"/>
      <c r="I139" s="93"/>
      <c r="J139" s="93"/>
      <c r="K139" s="94"/>
      <c r="L139" s="95"/>
    </row>
    <row r="140" ht="21.0" customHeight="1">
      <c r="B140" s="74"/>
      <c r="C140" s="89" t="s">
        <v>149</v>
      </c>
      <c r="D140" s="90"/>
      <c r="E140" s="91"/>
      <c r="F140" s="93"/>
      <c r="G140" s="93"/>
      <c r="H140" s="93"/>
      <c r="I140" s="93"/>
      <c r="J140" s="93"/>
      <c r="K140" s="94"/>
      <c r="L140" s="95"/>
    </row>
    <row r="141" ht="21.0" customHeight="1">
      <c r="B141" s="74"/>
      <c r="C141" s="89" t="s">
        <v>150</v>
      </c>
      <c r="D141" s="97"/>
      <c r="E141" s="91"/>
      <c r="F141" s="93"/>
      <c r="G141" s="93"/>
      <c r="H141" s="93"/>
      <c r="I141" s="93"/>
      <c r="J141" s="93"/>
      <c r="K141" s="94"/>
      <c r="L141" s="95"/>
    </row>
    <row r="142" ht="21.0" customHeight="1">
      <c r="B142" s="74"/>
      <c r="C142" s="98" t="s">
        <v>151</v>
      </c>
      <c r="D142" s="96"/>
      <c r="E142" s="91"/>
      <c r="F142" s="93"/>
      <c r="G142" s="93"/>
      <c r="H142" s="93"/>
      <c r="I142" s="93"/>
      <c r="J142" s="93"/>
      <c r="K142" s="94"/>
      <c r="L142" s="95"/>
    </row>
    <row r="143" ht="21.0" customHeight="1">
      <c r="B143" s="74"/>
      <c r="C143" s="89"/>
      <c r="D143" s="97"/>
      <c r="E143" s="91"/>
      <c r="F143" s="93"/>
      <c r="G143" s="93"/>
      <c r="H143" s="93"/>
      <c r="I143" s="93"/>
      <c r="J143" s="93"/>
      <c r="K143" s="94"/>
      <c r="L143" s="95"/>
    </row>
    <row r="144" ht="21.0" customHeight="1">
      <c r="C144" s="99" t="s">
        <v>152</v>
      </c>
      <c r="D144" s="100"/>
      <c r="E144" s="101"/>
      <c r="F144" s="102">
        <v>4095.0</v>
      </c>
      <c r="G144" s="103"/>
      <c r="H144" s="103"/>
      <c r="I144" s="103"/>
      <c r="J144" s="103"/>
      <c r="K144" s="104"/>
      <c r="L144" s="95"/>
    </row>
    <row r="145" ht="21.0" customHeight="1">
      <c r="C145" s="105" t="s">
        <v>153</v>
      </c>
      <c r="D145" s="83"/>
      <c r="E145" s="106"/>
      <c r="F145" s="106">
        <f t="shared" ref="F145:K145" si="3">F130-F131-F132+F133+F134-F135-F136-F137-F138-F139-F140-F141-F142-F143</f>
        <v>4095</v>
      </c>
      <c r="G145" s="106">
        <f t="shared" si="3"/>
        <v>0</v>
      </c>
      <c r="H145" s="106">
        <f t="shared" si="3"/>
        <v>0</v>
      </c>
      <c r="I145" s="106">
        <f t="shared" si="3"/>
        <v>0</v>
      </c>
      <c r="J145" s="106">
        <f t="shared" si="3"/>
        <v>0</v>
      </c>
      <c r="K145" s="106">
        <f t="shared" si="3"/>
        <v>0</v>
      </c>
      <c r="L145" s="95"/>
    </row>
    <row r="146" ht="29.25" customHeight="1">
      <c r="C146" s="107" t="s">
        <v>154</v>
      </c>
      <c r="D146" s="108"/>
      <c r="E146" s="109"/>
      <c r="F146" s="109">
        <f t="shared" ref="F146:K146" si="4">F144-F145</f>
        <v>0</v>
      </c>
      <c r="G146" s="109">
        <f t="shared" si="4"/>
        <v>0</v>
      </c>
      <c r="H146" s="109">
        <f t="shared" si="4"/>
        <v>0</v>
      </c>
      <c r="I146" s="109">
        <f t="shared" si="4"/>
        <v>0</v>
      </c>
      <c r="J146" s="109">
        <f t="shared" si="4"/>
        <v>0</v>
      </c>
      <c r="K146" s="110">
        <f t="shared" si="4"/>
        <v>0</v>
      </c>
      <c r="L146" s="111"/>
    </row>
    <row r="147" ht="30.75" customHeight="1">
      <c r="C147" s="112"/>
      <c r="D147" s="113"/>
      <c r="E147" s="113"/>
      <c r="F147" s="114"/>
      <c r="G147" s="114"/>
      <c r="H147" s="115" t="s">
        <v>155</v>
      </c>
      <c r="I147" s="6"/>
      <c r="J147" s="7"/>
      <c r="K147" s="116">
        <f>E146+F146+G146+H146+I146+J146+K146</f>
        <v>0</v>
      </c>
      <c r="L147" s="111"/>
    </row>
    <row r="148" ht="27.75" customHeight="1">
      <c r="C148" s="112"/>
      <c r="D148" s="113"/>
      <c r="E148" s="117"/>
      <c r="F148" s="114"/>
      <c r="G148" s="114"/>
      <c r="H148" s="118"/>
    </row>
    <row r="149" ht="26.25" customHeight="1">
      <c r="C149" s="74"/>
      <c r="E149" s="119" t="s">
        <v>156</v>
      </c>
      <c r="F149" s="77"/>
      <c r="G149" s="120">
        <f>J125</f>
        <v>4350</v>
      </c>
    </row>
    <row r="150" ht="24.75" customHeight="1">
      <c r="C150" s="74"/>
      <c r="E150" s="121" t="s">
        <v>157</v>
      </c>
      <c r="F150" s="122"/>
      <c r="G150" s="120">
        <f>E144+F144+G144+H144+I144+J144+K144</f>
        <v>4095</v>
      </c>
    </row>
    <row r="151" ht="20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D1"/>
    <mergeCell ref="F1:M1"/>
    <mergeCell ref="C129:D129"/>
    <mergeCell ref="C130:D130"/>
    <mergeCell ref="C131:D131"/>
    <mergeCell ref="C132:D132"/>
    <mergeCell ref="C133:D133"/>
    <mergeCell ref="C142:D142"/>
    <mergeCell ref="C144:D144"/>
    <mergeCell ref="C145:D145"/>
    <mergeCell ref="C146:D146"/>
    <mergeCell ref="H147:J147"/>
    <mergeCell ref="E149:F149"/>
    <mergeCell ref="E150:F150"/>
    <mergeCell ref="C134:D134"/>
    <mergeCell ref="C135:D135"/>
    <mergeCell ref="C136:D136"/>
    <mergeCell ref="C137:D137"/>
    <mergeCell ref="C138:D138"/>
    <mergeCell ref="C139:D139"/>
    <mergeCell ref="C140:D14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43"/>
    <col customWidth="1" min="2" max="2" width="50.57"/>
    <col customWidth="1" min="3" max="3" width="13.43"/>
    <col customWidth="1" min="4" max="4" width="14.57"/>
    <col customWidth="1" min="5" max="5" width="26.14"/>
    <col customWidth="1" min="6" max="6" width="20.86"/>
    <col customWidth="1" min="7" max="7" width="23.14"/>
    <col customWidth="1" min="8" max="8" width="24.43"/>
    <col customWidth="1" min="9" max="10" width="22.57"/>
    <col customWidth="1" min="11" max="11" width="23.0"/>
    <col customWidth="1" min="12" max="12" width="19.14"/>
    <col customWidth="1" min="13" max="13" width="23.57"/>
  </cols>
  <sheetData>
    <row r="1" ht="26.25" customHeight="1">
      <c r="A1" s="1" t="s">
        <v>158</v>
      </c>
      <c r="B1" s="2"/>
      <c r="C1" s="2"/>
      <c r="D1" s="2"/>
      <c r="E1" s="3"/>
      <c r="F1" s="5"/>
      <c r="G1" s="6"/>
      <c r="H1" s="6"/>
      <c r="I1" s="6"/>
      <c r="J1" s="6"/>
      <c r="K1" s="6"/>
      <c r="L1" s="6"/>
      <c r="M1" s="7"/>
    </row>
    <row r="2" ht="42.0" customHeight="1">
      <c r="A2" s="8" t="s">
        <v>1</v>
      </c>
      <c r="B2" s="9" t="s">
        <v>2</v>
      </c>
      <c r="C2" s="10" t="s">
        <v>3</v>
      </c>
      <c r="D2" s="10" t="s">
        <v>4</v>
      </c>
      <c r="E2" s="11" t="s">
        <v>5</v>
      </c>
      <c r="F2" s="12" t="s">
        <v>6</v>
      </c>
      <c r="G2" s="12" t="s">
        <v>7</v>
      </c>
      <c r="H2" s="13" t="s">
        <v>8</v>
      </c>
      <c r="I2" s="14" t="s">
        <v>9</v>
      </c>
      <c r="J2" s="14" t="s">
        <v>10</v>
      </c>
      <c r="K2" s="14" t="s">
        <v>11</v>
      </c>
      <c r="L2" s="15" t="s">
        <v>12</v>
      </c>
      <c r="M2" s="16" t="s">
        <v>13</v>
      </c>
    </row>
    <row r="3" ht="21.0" customHeight="1">
      <c r="A3" s="17">
        <v>1.0</v>
      </c>
      <c r="B3" s="18" t="s">
        <v>14</v>
      </c>
      <c r="C3" s="19">
        <v>100.0</v>
      </c>
      <c r="D3" s="20">
        <v>40.0</v>
      </c>
      <c r="E3" s="21">
        <v>20.0</v>
      </c>
      <c r="F3" s="21">
        <v>30.0</v>
      </c>
      <c r="G3" s="20"/>
      <c r="H3" s="22">
        <v>47.0</v>
      </c>
      <c r="I3" s="23">
        <f t="shared" ref="I3:I125" si="1">E3+F3-G3-H3</f>
        <v>3</v>
      </c>
      <c r="J3" s="24">
        <f t="shared" ref="J3:J125" si="2">C3*I3</f>
        <v>300</v>
      </c>
      <c r="K3" s="25"/>
      <c r="L3" s="20"/>
      <c r="M3" s="26"/>
    </row>
    <row r="4" ht="21.0" customHeight="1">
      <c r="A4" s="27">
        <v>2.0</v>
      </c>
      <c r="B4" s="28" t="s">
        <v>15</v>
      </c>
      <c r="C4" s="29">
        <v>100.0</v>
      </c>
      <c r="D4" s="30">
        <v>40.0</v>
      </c>
      <c r="E4" s="123">
        <v>28.0</v>
      </c>
      <c r="F4" s="123">
        <v>24.0</v>
      </c>
      <c r="G4" s="124"/>
      <c r="H4" s="125">
        <v>48.0</v>
      </c>
      <c r="I4" s="33">
        <f t="shared" si="1"/>
        <v>4</v>
      </c>
      <c r="J4" s="126">
        <f t="shared" si="2"/>
        <v>400</v>
      </c>
      <c r="K4" s="127"/>
      <c r="L4" s="124"/>
      <c r="M4" s="128"/>
    </row>
    <row r="5" ht="21.0" customHeight="1">
      <c r="A5" s="17">
        <v>3.0</v>
      </c>
      <c r="B5" s="37" t="s">
        <v>16</v>
      </c>
      <c r="C5" s="38">
        <v>200.0</v>
      </c>
      <c r="D5" s="39">
        <v>20.0</v>
      </c>
      <c r="E5" s="40">
        <v>15.0</v>
      </c>
      <c r="F5" s="40">
        <v>5.0</v>
      </c>
      <c r="G5" s="39"/>
      <c r="H5" s="41">
        <v>19.0</v>
      </c>
      <c r="I5" s="23">
        <f t="shared" si="1"/>
        <v>1</v>
      </c>
      <c r="J5" s="24">
        <f t="shared" si="2"/>
        <v>200</v>
      </c>
      <c r="K5" s="25"/>
      <c r="L5" s="39"/>
      <c r="M5" s="42"/>
    </row>
    <row r="6" ht="21.0" customHeight="1">
      <c r="A6" s="27">
        <v>4.0</v>
      </c>
      <c r="B6" s="28" t="s">
        <v>17</v>
      </c>
      <c r="C6" s="29">
        <v>200.0</v>
      </c>
      <c r="D6" s="30">
        <v>20.0</v>
      </c>
      <c r="E6" s="123">
        <v>19.0</v>
      </c>
      <c r="F6" s="123">
        <v>1.0</v>
      </c>
      <c r="G6" s="124"/>
      <c r="H6" s="125">
        <v>19.0</v>
      </c>
      <c r="I6" s="33">
        <f t="shared" si="1"/>
        <v>1</v>
      </c>
      <c r="J6" s="126">
        <f t="shared" si="2"/>
        <v>200</v>
      </c>
      <c r="K6" s="127"/>
      <c r="L6" s="124"/>
      <c r="M6" s="128"/>
    </row>
    <row r="7" ht="21.0" customHeight="1">
      <c r="A7" s="17">
        <v>5.0</v>
      </c>
      <c r="B7" s="37" t="s">
        <v>18</v>
      </c>
      <c r="C7" s="38">
        <v>200.0</v>
      </c>
      <c r="D7" s="39">
        <v>20.0</v>
      </c>
      <c r="E7" s="40">
        <v>17.0</v>
      </c>
      <c r="F7" s="70">
        <v>3.0</v>
      </c>
      <c r="G7" s="39"/>
      <c r="H7" s="41">
        <v>19.0</v>
      </c>
      <c r="I7" s="23">
        <f t="shared" si="1"/>
        <v>1</v>
      </c>
      <c r="J7" s="24">
        <f t="shared" si="2"/>
        <v>200</v>
      </c>
      <c r="K7" s="25"/>
      <c r="L7" s="39"/>
      <c r="M7" s="42"/>
    </row>
    <row r="8" ht="21.0" customHeight="1">
      <c r="A8" s="27">
        <v>6.0</v>
      </c>
      <c r="B8" s="28" t="s">
        <v>19</v>
      </c>
      <c r="C8" s="29">
        <v>200.0</v>
      </c>
      <c r="D8" s="43">
        <v>15.0</v>
      </c>
      <c r="E8" s="129">
        <v>5.0</v>
      </c>
      <c r="F8" s="129">
        <v>7.0</v>
      </c>
      <c r="G8" s="130"/>
      <c r="H8" s="131">
        <v>11.0</v>
      </c>
      <c r="I8" s="33">
        <f t="shared" si="1"/>
        <v>1</v>
      </c>
      <c r="J8" s="126">
        <f t="shared" si="2"/>
        <v>200</v>
      </c>
      <c r="K8" s="127"/>
      <c r="L8" s="130"/>
      <c r="M8" s="132"/>
    </row>
    <row r="9" ht="21.0" customHeight="1">
      <c r="A9" s="17">
        <v>7.0</v>
      </c>
      <c r="B9" s="37" t="s">
        <v>20</v>
      </c>
      <c r="C9" s="38">
        <v>200.0</v>
      </c>
      <c r="D9" s="47">
        <v>12.0</v>
      </c>
      <c r="E9" s="48">
        <v>7.0</v>
      </c>
      <c r="F9" s="48">
        <v>6.0</v>
      </c>
      <c r="G9" s="47"/>
      <c r="H9" s="49">
        <v>12.5</v>
      </c>
      <c r="I9" s="23">
        <f t="shared" si="1"/>
        <v>0.5</v>
      </c>
      <c r="J9" s="24">
        <f t="shared" si="2"/>
        <v>100</v>
      </c>
      <c r="K9" s="25"/>
      <c r="L9" s="47"/>
      <c r="M9" s="50"/>
    </row>
    <row r="10" ht="21.0" customHeight="1">
      <c r="A10" s="27">
        <v>8.0</v>
      </c>
      <c r="B10" s="28" t="s">
        <v>21</v>
      </c>
      <c r="C10" s="29">
        <v>200.0</v>
      </c>
      <c r="D10" s="43">
        <v>8.0</v>
      </c>
      <c r="E10" s="129">
        <v>3.5</v>
      </c>
      <c r="F10" s="129">
        <v>8.0</v>
      </c>
      <c r="G10" s="130"/>
      <c r="H10" s="130">
        <v>11.5</v>
      </c>
      <c r="I10" s="33">
        <f t="shared" si="1"/>
        <v>0</v>
      </c>
      <c r="J10" s="126">
        <f t="shared" si="2"/>
        <v>0</v>
      </c>
      <c r="K10" s="127"/>
      <c r="L10" s="130"/>
      <c r="M10" s="132"/>
    </row>
    <row r="11" ht="21.0" customHeight="1">
      <c r="A11" s="17">
        <v>9.0</v>
      </c>
      <c r="B11" s="37" t="s">
        <v>22</v>
      </c>
      <c r="C11" s="38">
        <v>200.0</v>
      </c>
      <c r="D11" s="47">
        <v>5.0</v>
      </c>
      <c r="E11" s="48">
        <v>2.0</v>
      </c>
      <c r="F11" s="48">
        <v>1.0</v>
      </c>
      <c r="G11" s="47"/>
      <c r="H11" s="49">
        <v>2.5</v>
      </c>
      <c r="I11" s="23">
        <f t="shared" si="1"/>
        <v>0.5</v>
      </c>
      <c r="J11" s="24">
        <f t="shared" si="2"/>
        <v>100</v>
      </c>
      <c r="K11" s="25"/>
      <c r="L11" s="47"/>
      <c r="M11" s="50"/>
    </row>
    <row r="12" ht="21.0" customHeight="1">
      <c r="A12" s="27">
        <v>10.0</v>
      </c>
      <c r="B12" s="28" t="s">
        <v>23</v>
      </c>
      <c r="C12" s="29">
        <v>200.0</v>
      </c>
      <c r="D12" s="43">
        <v>5.0</v>
      </c>
      <c r="E12" s="129">
        <v>3.0</v>
      </c>
      <c r="F12" s="133"/>
      <c r="G12" s="130"/>
      <c r="H12" s="130">
        <v>3.0</v>
      </c>
      <c r="I12" s="33">
        <f t="shared" si="1"/>
        <v>0</v>
      </c>
      <c r="J12" s="126">
        <f t="shared" si="2"/>
        <v>0</v>
      </c>
      <c r="K12" s="127"/>
      <c r="L12" s="130"/>
      <c r="M12" s="132"/>
    </row>
    <row r="13" ht="21.0" customHeight="1">
      <c r="A13" s="17">
        <v>11.0</v>
      </c>
      <c r="B13" s="37" t="s">
        <v>24</v>
      </c>
      <c r="C13" s="38">
        <v>300.0</v>
      </c>
      <c r="D13" s="47">
        <v>10.0</v>
      </c>
      <c r="E13" s="48">
        <v>1.5</v>
      </c>
      <c r="F13" s="48">
        <v>12.0</v>
      </c>
      <c r="G13" s="47"/>
      <c r="H13" s="49">
        <v>11.5</v>
      </c>
      <c r="I13" s="23">
        <f t="shared" si="1"/>
        <v>2</v>
      </c>
      <c r="J13" s="24">
        <f t="shared" si="2"/>
        <v>600</v>
      </c>
      <c r="K13" s="25"/>
      <c r="L13" s="47"/>
      <c r="M13" s="50"/>
    </row>
    <row r="14" ht="21.0" customHeight="1">
      <c r="A14" s="27">
        <v>12.0</v>
      </c>
      <c r="B14" s="28" t="s">
        <v>25</v>
      </c>
      <c r="C14" s="29">
        <v>300.0</v>
      </c>
      <c r="D14" s="43">
        <v>2.0</v>
      </c>
      <c r="E14" s="129">
        <v>2.5</v>
      </c>
      <c r="F14" s="129">
        <v>0.5</v>
      </c>
      <c r="G14" s="130"/>
      <c r="H14" s="130">
        <v>3.0</v>
      </c>
      <c r="I14" s="33">
        <f t="shared" si="1"/>
        <v>0</v>
      </c>
      <c r="J14" s="126">
        <f t="shared" si="2"/>
        <v>0</v>
      </c>
      <c r="K14" s="127"/>
      <c r="L14" s="130"/>
      <c r="M14" s="132"/>
    </row>
    <row r="15" ht="21.0" customHeight="1">
      <c r="A15" s="17">
        <v>13.0</v>
      </c>
      <c r="B15" s="37" t="s">
        <v>26</v>
      </c>
      <c r="C15" s="38">
        <v>200.0</v>
      </c>
      <c r="D15" s="47">
        <v>5.0</v>
      </c>
      <c r="E15" s="48">
        <v>2.0</v>
      </c>
      <c r="F15" s="51"/>
      <c r="G15" s="47"/>
      <c r="H15" s="47">
        <v>2.0</v>
      </c>
      <c r="I15" s="23">
        <f t="shared" si="1"/>
        <v>0</v>
      </c>
      <c r="J15" s="24">
        <f t="shared" si="2"/>
        <v>0</v>
      </c>
      <c r="K15" s="25"/>
      <c r="L15" s="47"/>
      <c r="M15" s="50"/>
    </row>
    <row r="16" ht="21.0" customHeight="1">
      <c r="A16" s="27">
        <v>14.0</v>
      </c>
      <c r="B16" s="28" t="s">
        <v>27</v>
      </c>
      <c r="C16" s="29">
        <v>300.0</v>
      </c>
      <c r="D16" s="43">
        <v>1.5</v>
      </c>
      <c r="E16" s="129">
        <v>2.0</v>
      </c>
      <c r="F16" s="129">
        <v>1.0</v>
      </c>
      <c r="G16" s="130"/>
      <c r="H16" s="130">
        <v>3.0</v>
      </c>
      <c r="I16" s="33">
        <f t="shared" si="1"/>
        <v>0</v>
      </c>
      <c r="J16" s="126">
        <f t="shared" si="2"/>
        <v>0</v>
      </c>
      <c r="K16" s="127"/>
      <c r="L16" s="130"/>
      <c r="M16" s="132"/>
    </row>
    <row r="17" ht="21.0" customHeight="1">
      <c r="A17" s="17">
        <v>15.0</v>
      </c>
      <c r="B17" s="37" t="s">
        <v>28</v>
      </c>
      <c r="C17" s="38">
        <v>300.0</v>
      </c>
      <c r="D17" s="47">
        <v>1.5</v>
      </c>
      <c r="E17" s="48">
        <v>3.0</v>
      </c>
      <c r="F17" s="51"/>
      <c r="G17" s="47"/>
      <c r="H17" s="47">
        <v>3.0</v>
      </c>
      <c r="I17" s="23">
        <f t="shared" si="1"/>
        <v>0</v>
      </c>
      <c r="J17" s="24">
        <f t="shared" si="2"/>
        <v>0</v>
      </c>
      <c r="K17" s="25"/>
      <c r="L17" s="47"/>
      <c r="M17" s="50"/>
    </row>
    <row r="18" ht="21.0" customHeight="1">
      <c r="A18" s="27">
        <v>16.0</v>
      </c>
      <c r="B18" s="28" t="s">
        <v>29</v>
      </c>
      <c r="C18" s="29">
        <v>300.0</v>
      </c>
      <c r="D18" s="43">
        <v>1.5</v>
      </c>
      <c r="E18" s="129">
        <v>1.5</v>
      </c>
      <c r="F18" s="129">
        <v>1.5</v>
      </c>
      <c r="G18" s="130"/>
      <c r="H18" s="131">
        <v>2.5</v>
      </c>
      <c r="I18" s="33">
        <f t="shared" si="1"/>
        <v>0.5</v>
      </c>
      <c r="J18" s="126">
        <f t="shared" si="2"/>
        <v>150</v>
      </c>
      <c r="K18" s="127"/>
      <c r="L18" s="130"/>
      <c r="M18" s="132"/>
    </row>
    <row r="19" ht="21.0" customHeight="1">
      <c r="A19" s="17">
        <v>17.0</v>
      </c>
      <c r="B19" s="37" t="s">
        <v>30</v>
      </c>
      <c r="C19" s="38">
        <v>300.0</v>
      </c>
      <c r="D19" s="47">
        <v>1.0</v>
      </c>
      <c r="E19" s="48">
        <v>2.5</v>
      </c>
      <c r="F19" s="48">
        <v>0.5</v>
      </c>
      <c r="G19" s="47"/>
      <c r="H19" s="47">
        <v>3.0</v>
      </c>
      <c r="I19" s="23">
        <f t="shared" si="1"/>
        <v>0</v>
      </c>
      <c r="J19" s="24">
        <f t="shared" si="2"/>
        <v>0</v>
      </c>
      <c r="K19" s="25"/>
      <c r="L19" s="47"/>
      <c r="M19" s="50"/>
    </row>
    <row r="20" ht="21.0" customHeight="1">
      <c r="A20" s="27">
        <v>18.0</v>
      </c>
      <c r="B20" s="28" t="s">
        <v>31</v>
      </c>
      <c r="C20" s="29">
        <v>100.0</v>
      </c>
      <c r="D20" s="30">
        <v>20.0</v>
      </c>
      <c r="E20" s="123">
        <v>0.0</v>
      </c>
      <c r="F20" s="134"/>
      <c r="G20" s="124"/>
      <c r="H20" s="124">
        <v>0.0</v>
      </c>
      <c r="I20" s="33">
        <f t="shared" si="1"/>
        <v>0</v>
      </c>
      <c r="J20" s="126">
        <f t="shared" si="2"/>
        <v>0</v>
      </c>
      <c r="K20" s="127"/>
      <c r="L20" s="124"/>
      <c r="M20" s="128"/>
    </row>
    <row r="21" ht="21.0" customHeight="1">
      <c r="A21" s="17">
        <v>19.0</v>
      </c>
      <c r="B21" s="37" t="s">
        <v>32</v>
      </c>
      <c r="C21" s="38">
        <v>100.0</v>
      </c>
      <c r="D21" s="39">
        <v>20.0</v>
      </c>
      <c r="E21" s="40">
        <v>16.0</v>
      </c>
      <c r="F21" s="40">
        <v>6.0</v>
      </c>
      <c r="G21" s="39"/>
      <c r="H21" s="39">
        <v>22.0</v>
      </c>
      <c r="I21" s="23">
        <f t="shared" si="1"/>
        <v>0</v>
      </c>
      <c r="J21" s="24">
        <f t="shared" si="2"/>
        <v>0</v>
      </c>
      <c r="K21" s="25"/>
      <c r="L21" s="39"/>
      <c r="M21" s="42"/>
    </row>
    <row r="22" ht="21.0" customHeight="1">
      <c r="A22" s="27">
        <v>20.0</v>
      </c>
      <c r="B22" s="28" t="s">
        <v>33</v>
      </c>
      <c r="C22" s="29">
        <v>100.0</v>
      </c>
      <c r="D22" s="30">
        <v>20.0</v>
      </c>
      <c r="E22" s="123">
        <v>14.0</v>
      </c>
      <c r="F22" s="123">
        <v>6.0</v>
      </c>
      <c r="G22" s="124"/>
      <c r="H22" s="125">
        <v>19.0</v>
      </c>
      <c r="I22" s="33">
        <f t="shared" si="1"/>
        <v>1</v>
      </c>
      <c r="J22" s="126">
        <f t="shared" si="2"/>
        <v>100</v>
      </c>
      <c r="K22" s="127"/>
      <c r="L22" s="124"/>
      <c r="M22" s="128"/>
    </row>
    <row r="23" ht="21.0" customHeight="1">
      <c r="A23" s="17">
        <v>21.0</v>
      </c>
      <c r="B23" s="37" t="s">
        <v>34</v>
      </c>
      <c r="C23" s="38">
        <v>100.0</v>
      </c>
      <c r="D23" s="39">
        <v>20.0</v>
      </c>
      <c r="E23" s="40">
        <v>5.0</v>
      </c>
      <c r="F23" s="40">
        <v>18.0</v>
      </c>
      <c r="G23" s="39"/>
      <c r="H23" s="41">
        <v>22.0</v>
      </c>
      <c r="I23" s="23">
        <f t="shared" si="1"/>
        <v>1</v>
      </c>
      <c r="J23" s="24">
        <f t="shared" si="2"/>
        <v>100</v>
      </c>
      <c r="K23" s="25"/>
      <c r="L23" s="39"/>
      <c r="M23" s="42"/>
    </row>
    <row r="24" ht="21.0" customHeight="1">
      <c r="A24" s="27">
        <v>22.0</v>
      </c>
      <c r="B24" s="28" t="s">
        <v>35</v>
      </c>
      <c r="C24" s="29">
        <v>100.0</v>
      </c>
      <c r="D24" s="30">
        <v>15.0</v>
      </c>
      <c r="E24" s="123">
        <v>12.0</v>
      </c>
      <c r="F24" s="123">
        <v>3.0</v>
      </c>
      <c r="G24" s="124"/>
      <c r="H24" s="124">
        <v>15.0</v>
      </c>
      <c r="I24" s="33">
        <f t="shared" si="1"/>
        <v>0</v>
      </c>
      <c r="J24" s="126">
        <f t="shared" si="2"/>
        <v>0</v>
      </c>
      <c r="K24" s="127"/>
      <c r="L24" s="124"/>
      <c r="M24" s="128"/>
    </row>
    <row r="25" ht="21.0" customHeight="1">
      <c r="A25" s="17">
        <v>23.0</v>
      </c>
      <c r="B25" s="37" t="s">
        <v>36</v>
      </c>
      <c r="C25" s="38">
        <v>150.0</v>
      </c>
      <c r="D25" s="39">
        <v>3.0</v>
      </c>
      <c r="E25" s="40">
        <v>4.0</v>
      </c>
      <c r="F25" s="54"/>
      <c r="G25" s="39"/>
      <c r="H25" s="39">
        <v>4.0</v>
      </c>
      <c r="I25" s="23">
        <f t="shared" si="1"/>
        <v>0</v>
      </c>
      <c r="J25" s="24">
        <f t="shared" si="2"/>
        <v>0</v>
      </c>
      <c r="K25" s="25"/>
      <c r="L25" s="39"/>
      <c r="M25" s="42"/>
    </row>
    <row r="26" ht="21.0" customHeight="1">
      <c r="A26" s="27">
        <v>24.0</v>
      </c>
      <c r="B26" s="28" t="s">
        <v>37</v>
      </c>
      <c r="C26" s="29">
        <v>100.0</v>
      </c>
      <c r="D26" s="30">
        <v>15.0</v>
      </c>
      <c r="E26" s="123">
        <v>12.0</v>
      </c>
      <c r="F26" s="134"/>
      <c r="G26" s="124"/>
      <c r="H26" s="124">
        <v>12.0</v>
      </c>
      <c r="I26" s="33">
        <f t="shared" si="1"/>
        <v>0</v>
      </c>
      <c r="J26" s="126">
        <f t="shared" si="2"/>
        <v>0</v>
      </c>
      <c r="K26" s="127"/>
      <c r="L26" s="124"/>
      <c r="M26" s="128"/>
    </row>
    <row r="27" ht="21.0" customHeight="1">
      <c r="A27" s="17">
        <v>25.0</v>
      </c>
      <c r="B27" s="37" t="s">
        <v>38</v>
      </c>
      <c r="C27" s="38">
        <v>100.0</v>
      </c>
      <c r="D27" s="39">
        <v>15.0</v>
      </c>
      <c r="E27" s="40">
        <v>11.0</v>
      </c>
      <c r="F27" s="40">
        <v>2.0</v>
      </c>
      <c r="G27" s="39"/>
      <c r="H27" s="39">
        <v>13.0</v>
      </c>
      <c r="I27" s="23">
        <f t="shared" si="1"/>
        <v>0</v>
      </c>
      <c r="J27" s="24">
        <f t="shared" si="2"/>
        <v>0</v>
      </c>
      <c r="K27" s="25"/>
      <c r="L27" s="39"/>
      <c r="M27" s="42"/>
    </row>
    <row r="28" ht="21.0" customHeight="1">
      <c r="A28" s="27">
        <v>26.0</v>
      </c>
      <c r="B28" s="28" t="s">
        <v>39</v>
      </c>
      <c r="C28" s="29">
        <v>100.0</v>
      </c>
      <c r="D28" s="30">
        <v>15.0</v>
      </c>
      <c r="E28" s="123">
        <v>9.0</v>
      </c>
      <c r="F28" s="123">
        <v>1.0</v>
      </c>
      <c r="G28" s="124"/>
      <c r="H28" s="124">
        <v>10.0</v>
      </c>
      <c r="I28" s="33">
        <f t="shared" si="1"/>
        <v>0</v>
      </c>
      <c r="J28" s="126">
        <f t="shared" si="2"/>
        <v>0</v>
      </c>
      <c r="K28" s="127"/>
      <c r="L28" s="124"/>
      <c r="M28" s="128"/>
    </row>
    <row r="29" ht="21.0" customHeight="1">
      <c r="A29" s="17">
        <v>27.0</v>
      </c>
      <c r="B29" s="37" t="s">
        <v>40</v>
      </c>
      <c r="C29" s="38">
        <v>100.0</v>
      </c>
      <c r="D29" s="39">
        <v>6.0</v>
      </c>
      <c r="E29" s="40">
        <v>9.0</v>
      </c>
      <c r="F29" s="40">
        <v>1.0</v>
      </c>
      <c r="G29" s="39"/>
      <c r="H29" s="41">
        <v>9.0</v>
      </c>
      <c r="I29" s="23">
        <f t="shared" si="1"/>
        <v>1</v>
      </c>
      <c r="J29" s="24">
        <f t="shared" si="2"/>
        <v>100</v>
      </c>
      <c r="K29" s="25"/>
      <c r="L29" s="39"/>
      <c r="M29" s="42"/>
    </row>
    <row r="30" ht="21.0" customHeight="1">
      <c r="A30" s="27">
        <v>28.0</v>
      </c>
      <c r="B30" s="28" t="s">
        <v>41</v>
      </c>
      <c r="C30" s="29">
        <v>100.0</v>
      </c>
      <c r="D30" s="30">
        <v>8.0</v>
      </c>
      <c r="E30" s="123">
        <v>7.0</v>
      </c>
      <c r="F30" s="123">
        <v>3.0</v>
      </c>
      <c r="G30" s="124"/>
      <c r="H30" s="124">
        <v>10.0</v>
      </c>
      <c r="I30" s="33">
        <f t="shared" si="1"/>
        <v>0</v>
      </c>
      <c r="J30" s="126">
        <f t="shared" si="2"/>
        <v>0</v>
      </c>
      <c r="K30" s="127"/>
      <c r="L30" s="124"/>
      <c r="M30" s="128"/>
    </row>
    <row r="31" ht="21.0" customHeight="1">
      <c r="A31" s="17">
        <v>29.0</v>
      </c>
      <c r="B31" s="37" t="s">
        <v>42</v>
      </c>
      <c r="C31" s="38">
        <v>100.0</v>
      </c>
      <c r="D31" s="39">
        <v>10.0</v>
      </c>
      <c r="E31" s="40">
        <v>10.0</v>
      </c>
      <c r="F31" s="54"/>
      <c r="G31" s="39"/>
      <c r="H31" s="41">
        <v>7.0</v>
      </c>
      <c r="I31" s="23">
        <f t="shared" si="1"/>
        <v>3</v>
      </c>
      <c r="J31" s="24">
        <f t="shared" si="2"/>
        <v>300</v>
      </c>
      <c r="K31" s="25"/>
      <c r="L31" s="39"/>
      <c r="M31" s="42"/>
    </row>
    <row r="32" ht="21.0" customHeight="1">
      <c r="A32" s="27">
        <v>30.0</v>
      </c>
      <c r="B32" s="28" t="s">
        <v>43</v>
      </c>
      <c r="C32" s="29">
        <v>100.0</v>
      </c>
      <c r="D32" s="30">
        <v>10.0</v>
      </c>
      <c r="E32" s="123">
        <v>9.0</v>
      </c>
      <c r="F32" s="123">
        <v>1.0</v>
      </c>
      <c r="G32" s="124"/>
      <c r="H32" s="124">
        <v>10.0</v>
      </c>
      <c r="I32" s="33">
        <f t="shared" si="1"/>
        <v>0</v>
      </c>
      <c r="J32" s="126">
        <f t="shared" si="2"/>
        <v>0</v>
      </c>
      <c r="K32" s="127"/>
      <c r="L32" s="124"/>
      <c r="M32" s="128"/>
    </row>
    <row r="33" ht="21.0" customHeight="1">
      <c r="A33" s="17">
        <v>31.0</v>
      </c>
      <c r="B33" s="37" t="s">
        <v>44</v>
      </c>
      <c r="C33" s="38">
        <v>200.0</v>
      </c>
      <c r="D33" s="39">
        <v>2.0</v>
      </c>
      <c r="E33" s="40">
        <v>2.0</v>
      </c>
      <c r="F33" s="54"/>
      <c r="G33" s="39"/>
      <c r="H33" s="39">
        <v>2.0</v>
      </c>
      <c r="I33" s="23">
        <f t="shared" si="1"/>
        <v>0</v>
      </c>
      <c r="J33" s="24">
        <f t="shared" si="2"/>
        <v>0</v>
      </c>
      <c r="K33" s="25"/>
      <c r="L33" s="39"/>
      <c r="M33" s="42"/>
    </row>
    <row r="34" ht="21.0" customHeight="1">
      <c r="A34" s="27">
        <v>32.0</v>
      </c>
      <c r="B34" s="28" t="s">
        <v>45</v>
      </c>
      <c r="C34" s="29">
        <v>150.0</v>
      </c>
      <c r="D34" s="30">
        <v>6.0</v>
      </c>
      <c r="E34" s="123">
        <v>4.0</v>
      </c>
      <c r="F34" s="134"/>
      <c r="G34" s="124"/>
      <c r="H34" s="124">
        <v>4.0</v>
      </c>
      <c r="I34" s="33">
        <f t="shared" si="1"/>
        <v>0</v>
      </c>
      <c r="J34" s="126">
        <f t="shared" si="2"/>
        <v>0</v>
      </c>
      <c r="K34" s="127"/>
      <c r="L34" s="124"/>
      <c r="M34" s="128"/>
    </row>
    <row r="35" ht="21.0" customHeight="1">
      <c r="A35" s="17">
        <v>33.0</v>
      </c>
      <c r="B35" s="37" t="s">
        <v>46</v>
      </c>
      <c r="C35" s="38">
        <v>100.0</v>
      </c>
      <c r="D35" s="39">
        <v>12.0</v>
      </c>
      <c r="E35" s="40">
        <v>10.0</v>
      </c>
      <c r="F35" s="54"/>
      <c r="G35" s="39"/>
      <c r="H35" s="39">
        <v>10.0</v>
      </c>
      <c r="I35" s="23">
        <f t="shared" si="1"/>
        <v>0</v>
      </c>
      <c r="J35" s="24">
        <f t="shared" si="2"/>
        <v>0</v>
      </c>
      <c r="K35" s="25"/>
      <c r="L35" s="39"/>
      <c r="M35" s="42"/>
    </row>
    <row r="36" ht="21.0" customHeight="1">
      <c r="A36" s="27">
        <v>34.0</v>
      </c>
      <c r="B36" s="28" t="s">
        <v>47</v>
      </c>
      <c r="C36" s="29">
        <v>150.0</v>
      </c>
      <c r="D36" s="30">
        <v>12.0</v>
      </c>
      <c r="E36" s="123">
        <v>7.0</v>
      </c>
      <c r="F36" s="123">
        <v>3.0</v>
      </c>
      <c r="G36" s="124"/>
      <c r="H36" s="125">
        <v>9.0</v>
      </c>
      <c r="I36" s="33">
        <f t="shared" si="1"/>
        <v>1</v>
      </c>
      <c r="J36" s="126">
        <f t="shared" si="2"/>
        <v>150</v>
      </c>
      <c r="K36" s="127"/>
      <c r="L36" s="124"/>
      <c r="M36" s="128"/>
    </row>
    <row r="37" ht="21.0" customHeight="1">
      <c r="A37" s="17">
        <v>35.0</v>
      </c>
      <c r="B37" s="37" t="s">
        <v>48</v>
      </c>
      <c r="C37" s="38">
        <v>250.0</v>
      </c>
      <c r="D37" s="39">
        <v>10.0</v>
      </c>
      <c r="E37" s="40">
        <v>9.0</v>
      </c>
      <c r="F37" s="70">
        <v>2.0</v>
      </c>
      <c r="G37" s="39"/>
      <c r="H37" s="39">
        <v>10.0</v>
      </c>
      <c r="I37" s="23">
        <f t="shared" si="1"/>
        <v>1</v>
      </c>
      <c r="J37" s="24">
        <f t="shared" si="2"/>
        <v>250</v>
      </c>
      <c r="K37" s="25"/>
      <c r="L37" s="39"/>
      <c r="M37" s="42"/>
    </row>
    <row r="38" ht="21.0" customHeight="1">
      <c r="A38" s="27">
        <v>36.0</v>
      </c>
      <c r="B38" s="28" t="s">
        <v>49</v>
      </c>
      <c r="C38" s="29">
        <v>150.0</v>
      </c>
      <c r="D38" s="30">
        <v>3.0</v>
      </c>
      <c r="E38" s="123">
        <v>6.0</v>
      </c>
      <c r="F38" s="134"/>
      <c r="G38" s="124"/>
      <c r="H38" s="124">
        <v>6.0</v>
      </c>
      <c r="I38" s="33">
        <f t="shared" si="1"/>
        <v>0</v>
      </c>
      <c r="J38" s="126">
        <f t="shared" si="2"/>
        <v>0</v>
      </c>
      <c r="K38" s="127"/>
      <c r="L38" s="124"/>
      <c r="M38" s="128"/>
    </row>
    <row r="39" ht="21.0" customHeight="1">
      <c r="A39" s="17">
        <v>37.0</v>
      </c>
      <c r="B39" s="37" t="s">
        <v>50</v>
      </c>
      <c r="C39" s="38">
        <v>150.0</v>
      </c>
      <c r="D39" s="39">
        <v>3.0</v>
      </c>
      <c r="E39" s="40">
        <v>5.0</v>
      </c>
      <c r="F39" s="54"/>
      <c r="G39" s="39"/>
      <c r="H39" s="39">
        <v>5.0</v>
      </c>
      <c r="I39" s="23">
        <f t="shared" si="1"/>
        <v>0</v>
      </c>
      <c r="J39" s="24">
        <f t="shared" si="2"/>
        <v>0</v>
      </c>
      <c r="K39" s="25"/>
      <c r="L39" s="39"/>
      <c r="M39" s="42"/>
    </row>
    <row r="40" ht="21.0" customHeight="1">
      <c r="A40" s="27">
        <v>38.0</v>
      </c>
      <c r="B40" s="28" t="s">
        <v>51</v>
      </c>
      <c r="C40" s="29">
        <v>150.0</v>
      </c>
      <c r="D40" s="30">
        <v>5.0</v>
      </c>
      <c r="E40" s="123">
        <v>5.0</v>
      </c>
      <c r="F40" s="134"/>
      <c r="G40" s="124"/>
      <c r="H40" s="124">
        <v>5.0</v>
      </c>
      <c r="I40" s="33">
        <f t="shared" si="1"/>
        <v>0</v>
      </c>
      <c r="J40" s="126">
        <f t="shared" si="2"/>
        <v>0</v>
      </c>
      <c r="K40" s="127"/>
      <c r="L40" s="124"/>
      <c r="M40" s="128"/>
    </row>
    <row r="41" ht="21.0" customHeight="1">
      <c r="A41" s="17">
        <v>39.0</v>
      </c>
      <c r="B41" s="37" t="s">
        <v>52</v>
      </c>
      <c r="C41" s="38">
        <v>150.0</v>
      </c>
      <c r="D41" s="39">
        <v>6.0</v>
      </c>
      <c r="E41" s="40">
        <v>4.0</v>
      </c>
      <c r="F41" s="54"/>
      <c r="G41" s="39"/>
      <c r="H41" s="39">
        <v>4.0</v>
      </c>
      <c r="I41" s="23">
        <f t="shared" si="1"/>
        <v>0</v>
      </c>
      <c r="J41" s="24">
        <f t="shared" si="2"/>
        <v>0</v>
      </c>
      <c r="K41" s="25"/>
      <c r="L41" s="39"/>
      <c r="M41" s="42"/>
    </row>
    <row r="42" ht="21.0" customHeight="1">
      <c r="A42" s="27">
        <v>40.0</v>
      </c>
      <c r="B42" s="28" t="s">
        <v>53</v>
      </c>
      <c r="C42" s="29">
        <v>150.0</v>
      </c>
      <c r="D42" s="30">
        <v>2.0</v>
      </c>
      <c r="E42" s="123">
        <v>4.0</v>
      </c>
      <c r="F42" s="134"/>
      <c r="G42" s="124"/>
      <c r="H42" s="124">
        <v>4.0</v>
      </c>
      <c r="I42" s="33">
        <f t="shared" si="1"/>
        <v>0</v>
      </c>
      <c r="J42" s="126">
        <f t="shared" si="2"/>
        <v>0</v>
      </c>
      <c r="K42" s="127"/>
      <c r="L42" s="124"/>
      <c r="M42" s="128"/>
    </row>
    <row r="43" ht="21.0" customHeight="1">
      <c r="A43" s="17">
        <v>41.0</v>
      </c>
      <c r="B43" s="37" t="s">
        <v>54</v>
      </c>
      <c r="C43" s="38">
        <v>200.0</v>
      </c>
      <c r="D43" s="39">
        <v>10.0</v>
      </c>
      <c r="E43" s="40">
        <v>10.0</v>
      </c>
      <c r="F43" s="54"/>
      <c r="G43" s="39"/>
      <c r="H43" s="41">
        <v>8.0</v>
      </c>
      <c r="I43" s="23">
        <f t="shared" si="1"/>
        <v>2</v>
      </c>
      <c r="J43" s="24">
        <f t="shared" si="2"/>
        <v>400</v>
      </c>
      <c r="K43" s="25"/>
      <c r="L43" s="39"/>
      <c r="M43" s="42"/>
    </row>
    <row r="44" ht="21.0" customHeight="1">
      <c r="A44" s="27">
        <v>42.0</v>
      </c>
      <c r="B44" s="28" t="s">
        <v>55</v>
      </c>
      <c r="C44" s="29">
        <v>150.0</v>
      </c>
      <c r="D44" s="30">
        <v>10.0</v>
      </c>
      <c r="E44" s="123">
        <v>10.0</v>
      </c>
      <c r="F44" s="134"/>
      <c r="G44" s="124"/>
      <c r="H44" s="124">
        <v>10.0</v>
      </c>
      <c r="I44" s="33">
        <f t="shared" si="1"/>
        <v>0</v>
      </c>
      <c r="J44" s="126">
        <f t="shared" si="2"/>
        <v>0</v>
      </c>
      <c r="K44" s="127"/>
      <c r="L44" s="124"/>
      <c r="M44" s="128"/>
    </row>
    <row r="45" ht="21.0" customHeight="1">
      <c r="A45" s="17">
        <v>43.0</v>
      </c>
      <c r="B45" s="37" t="s">
        <v>56</v>
      </c>
      <c r="C45" s="38">
        <v>200.0</v>
      </c>
      <c r="D45" s="39">
        <v>4.0</v>
      </c>
      <c r="E45" s="40">
        <v>4.0</v>
      </c>
      <c r="F45" s="54"/>
      <c r="G45" s="39"/>
      <c r="H45" s="39">
        <v>4.0</v>
      </c>
      <c r="I45" s="23">
        <f t="shared" si="1"/>
        <v>0</v>
      </c>
      <c r="J45" s="24">
        <f t="shared" si="2"/>
        <v>0</v>
      </c>
      <c r="K45" s="25"/>
      <c r="L45" s="39"/>
      <c r="M45" s="42"/>
    </row>
    <row r="46" ht="21.0" customHeight="1">
      <c r="A46" s="27">
        <v>44.0</v>
      </c>
      <c r="B46" s="28" t="s">
        <v>57</v>
      </c>
      <c r="C46" s="29">
        <v>200.0</v>
      </c>
      <c r="D46" s="30">
        <v>4.0</v>
      </c>
      <c r="E46" s="123">
        <v>3.0</v>
      </c>
      <c r="F46" s="134"/>
      <c r="G46" s="124"/>
      <c r="H46" s="124">
        <v>3.0</v>
      </c>
      <c r="I46" s="33">
        <f t="shared" si="1"/>
        <v>0</v>
      </c>
      <c r="J46" s="126">
        <f t="shared" si="2"/>
        <v>0</v>
      </c>
      <c r="K46" s="127"/>
      <c r="L46" s="124"/>
      <c r="M46" s="128"/>
    </row>
    <row r="47" ht="21.0" customHeight="1">
      <c r="A47" s="17">
        <v>45.0</v>
      </c>
      <c r="B47" s="37" t="s">
        <v>58</v>
      </c>
      <c r="C47" s="38">
        <v>150.0</v>
      </c>
      <c r="D47" s="39">
        <v>7.0</v>
      </c>
      <c r="E47" s="40">
        <v>4.0</v>
      </c>
      <c r="F47" s="54"/>
      <c r="G47" s="39"/>
      <c r="H47" s="39">
        <v>4.0</v>
      </c>
      <c r="I47" s="23">
        <f t="shared" si="1"/>
        <v>0</v>
      </c>
      <c r="J47" s="24">
        <f t="shared" si="2"/>
        <v>0</v>
      </c>
      <c r="K47" s="25"/>
      <c r="L47" s="39"/>
      <c r="M47" s="42"/>
    </row>
    <row r="48" ht="21.0" customHeight="1">
      <c r="A48" s="27">
        <v>46.0</v>
      </c>
      <c r="B48" s="28" t="s">
        <v>59</v>
      </c>
      <c r="C48" s="29">
        <v>100.0</v>
      </c>
      <c r="D48" s="30">
        <v>8.0</v>
      </c>
      <c r="E48" s="123">
        <v>1.0</v>
      </c>
      <c r="F48" s="123">
        <v>10.0</v>
      </c>
      <c r="G48" s="124"/>
      <c r="H48" s="124">
        <v>11.0</v>
      </c>
      <c r="I48" s="33">
        <f t="shared" si="1"/>
        <v>0</v>
      </c>
      <c r="J48" s="126">
        <f t="shared" si="2"/>
        <v>0</v>
      </c>
      <c r="K48" s="127"/>
      <c r="L48" s="124"/>
      <c r="M48" s="128"/>
    </row>
    <row r="49" ht="21.0" customHeight="1">
      <c r="A49" s="17">
        <v>47.0</v>
      </c>
      <c r="B49" s="37" t="s">
        <v>60</v>
      </c>
      <c r="C49" s="38">
        <v>100.0</v>
      </c>
      <c r="D49" s="39">
        <v>8.0</v>
      </c>
      <c r="E49" s="40">
        <v>9.0</v>
      </c>
      <c r="F49" s="54"/>
      <c r="G49" s="39"/>
      <c r="H49" s="39">
        <v>9.0</v>
      </c>
      <c r="I49" s="23">
        <f t="shared" si="1"/>
        <v>0</v>
      </c>
      <c r="J49" s="24">
        <f t="shared" si="2"/>
        <v>0</v>
      </c>
      <c r="K49" s="25"/>
      <c r="L49" s="39"/>
      <c r="M49" s="42"/>
    </row>
    <row r="50" ht="21.0" customHeight="1">
      <c r="A50" s="27">
        <v>48.0</v>
      </c>
      <c r="B50" s="28" t="s">
        <v>61</v>
      </c>
      <c r="C50" s="29">
        <v>150.0</v>
      </c>
      <c r="D50" s="30">
        <v>6.0</v>
      </c>
      <c r="E50" s="123">
        <v>3.0</v>
      </c>
      <c r="F50" s="134"/>
      <c r="G50" s="124"/>
      <c r="H50" s="124">
        <v>3.0</v>
      </c>
      <c r="I50" s="33">
        <f t="shared" si="1"/>
        <v>0</v>
      </c>
      <c r="J50" s="126">
        <f t="shared" si="2"/>
        <v>0</v>
      </c>
      <c r="K50" s="127"/>
      <c r="L50" s="124"/>
      <c r="M50" s="128"/>
    </row>
    <row r="51" ht="21.0" customHeight="1">
      <c r="A51" s="17">
        <v>49.0</v>
      </c>
      <c r="B51" s="37" t="s">
        <v>62</v>
      </c>
      <c r="C51" s="38">
        <v>200.0</v>
      </c>
      <c r="D51" s="39">
        <v>10.0</v>
      </c>
      <c r="E51" s="40">
        <v>8.0</v>
      </c>
      <c r="F51" s="54"/>
      <c r="G51" s="39"/>
      <c r="H51" s="39">
        <v>8.0</v>
      </c>
      <c r="I51" s="23">
        <f t="shared" si="1"/>
        <v>0</v>
      </c>
      <c r="J51" s="24">
        <f t="shared" si="2"/>
        <v>0</v>
      </c>
      <c r="K51" s="25"/>
      <c r="L51" s="39"/>
      <c r="M51" s="42"/>
    </row>
    <row r="52" ht="21.0" customHeight="1">
      <c r="A52" s="27">
        <v>50.0</v>
      </c>
      <c r="B52" s="28" t="s">
        <v>63</v>
      </c>
      <c r="C52" s="29">
        <v>200.0</v>
      </c>
      <c r="D52" s="30">
        <v>10.0</v>
      </c>
      <c r="E52" s="123">
        <v>11.0</v>
      </c>
      <c r="F52" s="134"/>
      <c r="G52" s="124"/>
      <c r="H52" s="124">
        <v>11.0</v>
      </c>
      <c r="I52" s="33">
        <f t="shared" si="1"/>
        <v>0</v>
      </c>
      <c r="J52" s="126">
        <f t="shared" si="2"/>
        <v>0</v>
      </c>
      <c r="K52" s="127"/>
      <c r="L52" s="124"/>
      <c r="M52" s="128"/>
    </row>
    <row r="53" ht="21.0" customHeight="1">
      <c r="A53" s="17">
        <v>51.0</v>
      </c>
      <c r="B53" s="37" t="s">
        <v>64</v>
      </c>
      <c r="C53" s="38">
        <v>200.0</v>
      </c>
      <c r="D53" s="39">
        <v>15.0</v>
      </c>
      <c r="E53" s="40">
        <v>9.0</v>
      </c>
      <c r="F53" s="40">
        <v>15.0</v>
      </c>
      <c r="G53" s="39"/>
      <c r="H53" s="41">
        <v>19.0</v>
      </c>
      <c r="I53" s="23">
        <f t="shared" si="1"/>
        <v>5</v>
      </c>
      <c r="J53" s="24">
        <f t="shared" si="2"/>
        <v>1000</v>
      </c>
      <c r="K53" s="25"/>
      <c r="L53" s="39"/>
      <c r="M53" s="42"/>
    </row>
    <row r="54" ht="21.0" customHeight="1">
      <c r="A54" s="27">
        <v>52.0</v>
      </c>
      <c r="B54" s="28" t="s">
        <v>65</v>
      </c>
      <c r="C54" s="29">
        <v>250.0</v>
      </c>
      <c r="D54" s="30">
        <v>4.0</v>
      </c>
      <c r="E54" s="123">
        <v>5.0</v>
      </c>
      <c r="F54" s="134"/>
      <c r="G54" s="124"/>
      <c r="H54" s="124">
        <v>5.0</v>
      </c>
      <c r="I54" s="33">
        <f t="shared" si="1"/>
        <v>0</v>
      </c>
      <c r="J54" s="126">
        <f t="shared" si="2"/>
        <v>0</v>
      </c>
      <c r="K54" s="127"/>
      <c r="L54" s="124"/>
      <c r="M54" s="128"/>
    </row>
    <row r="55" ht="21.0" customHeight="1">
      <c r="A55" s="17">
        <v>53.0</v>
      </c>
      <c r="B55" s="37" t="s">
        <v>66</v>
      </c>
      <c r="C55" s="38">
        <v>300.0</v>
      </c>
      <c r="D55" s="39">
        <v>2.0</v>
      </c>
      <c r="E55" s="40">
        <v>5.0</v>
      </c>
      <c r="F55" s="54"/>
      <c r="G55" s="39"/>
      <c r="H55" s="39">
        <v>5.0</v>
      </c>
      <c r="I55" s="23">
        <f t="shared" si="1"/>
        <v>0</v>
      </c>
      <c r="J55" s="24">
        <f t="shared" si="2"/>
        <v>0</v>
      </c>
      <c r="K55" s="25"/>
      <c r="L55" s="39"/>
      <c r="M55" s="42"/>
    </row>
    <row r="56" ht="21.0" customHeight="1">
      <c r="A56" s="27">
        <v>54.0</v>
      </c>
      <c r="B56" s="28" t="s">
        <v>67</v>
      </c>
      <c r="C56" s="29">
        <v>150.0</v>
      </c>
      <c r="D56" s="30">
        <v>4.0</v>
      </c>
      <c r="E56" s="123">
        <v>6.0</v>
      </c>
      <c r="F56" s="134"/>
      <c r="G56" s="124"/>
      <c r="H56" s="124">
        <v>6.0</v>
      </c>
      <c r="I56" s="33">
        <f t="shared" si="1"/>
        <v>0</v>
      </c>
      <c r="J56" s="126">
        <f t="shared" si="2"/>
        <v>0</v>
      </c>
      <c r="K56" s="127"/>
      <c r="L56" s="124"/>
      <c r="M56" s="128"/>
    </row>
    <row r="57" ht="21.0" customHeight="1">
      <c r="A57" s="17">
        <v>55.0</v>
      </c>
      <c r="B57" s="37" t="s">
        <v>68</v>
      </c>
      <c r="C57" s="38">
        <v>100.0</v>
      </c>
      <c r="D57" s="39">
        <v>2.0</v>
      </c>
      <c r="E57" s="40">
        <v>4.0</v>
      </c>
      <c r="F57" s="54"/>
      <c r="G57" s="39"/>
      <c r="H57" s="39">
        <v>4.0</v>
      </c>
      <c r="I57" s="23">
        <f t="shared" si="1"/>
        <v>0</v>
      </c>
      <c r="J57" s="24">
        <f t="shared" si="2"/>
        <v>0</v>
      </c>
      <c r="K57" s="25"/>
      <c r="L57" s="39"/>
      <c r="M57" s="42"/>
    </row>
    <row r="58" ht="21.0" customHeight="1">
      <c r="A58" s="27">
        <v>56.0</v>
      </c>
      <c r="B58" s="28" t="s">
        <v>69</v>
      </c>
      <c r="C58" s="29">
        <v>150.0</v>
      </c>
      <c r="D58" s="30">
        <v>4.0</v>
      </c>
      <c r="E58" s="123">
        <v>4.0</v>
      </c>
      <c r="F58" s="134"/>
      <c r="G58" s="124"/>
      <c r="H58" s="124">
        <v>4.0</v>
      </c>
      <c r="I58" s="33">
        <f t="shared" si="1"/>
        <v>0</v>
      </c>
      <c r="J58" s="126">
        <f t="shared" si="2"/>
        <v>0</v>
      </c>
      <c r="K58" s="127"/>
      <c r="L58" s="124"/>
      <c r="M58" s="128"/>
    </row>
    <row r="59" ht="21.0" customHeight="1">
      <c r="A59" s="17">
        <v>57.0</v>
      </c>
      <c r="B59" s="37" t="s">
        <v>70</v>
      </c>
      <c r="C59" s="38">
        <v>350.0</v>
      </c>
      <c r="D59" s="39">
        <v>2.0</v>
      </c>
      <c r="E59" s="40">
        <v>6.0</v>
      </c>
      <c r="F59" s="54"/>
      <c r="G59" s="39"/>
      <c r="H59" s="39">
        <v>6.0</v>
      </c>
      <c r="I59" s="23">
        <f t="shared" si="1"/>
        <v>0</v>
      </c>
      <c r="J59" s="24">
        <f t="shared" si="2"/>
        <v>0</v>
      </c>
      <c r="K59" s="25"/>
      <c r="L59" s="39"/>
      <c r="M59" s="42"/>
    </row>
    <row r="60" ht="21.0" customHeight="1">
      <c r="A60" s="27">
        <v>58.0</v>
      </c>
      <c r="B60" s="28" t="s">
        <v>71</v>
      </c>
      <c r="C60" s="29">
        <v>300.0</v>
      </c>
      <c r="D60" s="30">
        <v>6.0</v>
      </c>
      <c r="E60" s="123">
        <v>1.0</v>
      </c>
      <c r="F60" s="123">
        <v>5.0</v>
      </c>
      <c r="G60" s="124"/>
      <c r="H60" s="124">
        <v>6.0</v>
      </c>
      <c r="I60" s="33">
        <f t="shared" si="1"/>
        <v>0</v>
      </c>
      <c r="J60" s="126">
        <f t="shared" si="2"/>
        <v>0</v>
      </c>
      <c r="K60" s="127"/>
      <c r="L60" s="124"/>
      <c r="M60" s="128"/>
    </row>
    <row r="61" ht="21.0" customHeight="1">
      <c r="A61" s="17">
        <v>59.0</v>
      </c>
      <c r="B61" s="37" t="s">
        <v>72</v>
      </c>
      <c r="C61" s="38">
        <v>1400.0</v>
      </c>
      <c r="D61" s="39">
        <v>2.0</v>
      </c>
      <c r="E61" s="40">
        <v>2.0</v>
      </c>
      <c r="F61" s="54"/>
      <c r="G61" s="39"/>
      <c r="H61" s="39">
        <v>2.0</v>
      </c>
      <c r="I61" s="23">
        <f t="shared" si="1"/>
        <v>0</v>
      </c>
      <c r="J61" s="24">
        <f t="shared" si="2"/>
        <v>0</v>
      </c>
      <c r="K61" s="25"/>
      <c r="L61" s="39"/>
      <c r="M61" s="42"/>
    </row>
    <row r="62" ht="21.0" customHeight="1">
      <c r="A62" s="56">
        <v>60.0</v>
      </c>
      <c r="B62" s="57" t="s">
        <v>73</v>
      </c>
      <c r="C62" s="58">
        <v>400.0</v>
      </c>
      <c r="D62" s="30">
        <v>3.0</v>
      </c>
      <c r="E62" s="31">
        <v>4.0</v>
      </c>
      <c r="F62" s="55"/>
      <c r="G62" s="30"/>
      <c r="H62" s="30">
        <v>4.0</v>
      </c>
      <c r="I62" s="33">
        <f t="shared" si="1"/>
        <v>0</v>
      </c>
      <c r="J62" s="34">
        <f t="shared" si="2"/>
        <v>0</v>
      </c>
      <c r="K62" s="35"/>
      <c r="L62" s="30"/>
      <c r="M62" s="36"/>
    </row>
    <row r="63" ht="21.0" customHeight="1">
      <c r="A63" s="59">
        <v>61.0</v>
      </c>
      <c r="B63" s="60" t="s">
        <v>74</v>
      </c>
      <c r="C63" s="61">
        <v>500.0</v>
      </c>
      <c r="D63" s="62">
        <v>3.0</v>
      </c>
      <c r="E63" s="63">
        <v>3.0</v>
      </c>
      <c r="F63" s="64"/>
      <c r="G63" s="62"/>
      <c r="H63" s="62">
        <v>3.0</v>
      </c>
      <c r="I63" s="66">
        <f t="shared" si="1"/>
        <v>0</v>
      </c>
      <c r="J63" s="67">
        <f t="shared" si="2"/>
        <v>0</v>
      </c>
      <c r="K63" s="68"/>
      <c r="L63" s="62"/>
      <c r="M63" s="69"/>
    </row>
    <row r="64" ht="21.0" customHeight="1">
      <c r="A64" s="17">
        <v>62.0</v>
      </c>
      <c r="B64" s="37" t="s">
        <v>75</v>
      </c>
      <c r="C64" s="38">
        <v>1600.0</v>
      </c>
      <c r="D64" s="39">
        <v>1.0</v>
      </c>
      <c r="E64" s="40">
        <v>2.0</v>
      </c>
      <c r="F64" s="54"/>
      <c r="G64" s="39"/>
      <c r="H64" s="39">
        <v>2.0</v>
      </c>
      <c r="I64" s="23">
        <f t="shared" si="1"/>
        <v>0</v>
      </c>
      <c r="J64" s="24">
        <f t="shared" si="2"/>
        <v>0</v>
      </c>
      <c r="K64" s="25"/>
      <c r="L64" s="39"/>
      <c r="M64" s="42"/>
    </row>
    <row r="65" ht="21.0" customHeight="1">
      <c r="A65" s="56">
        <v>63.0</v>
      </c>
      <c r="B65" s="57" t="s">
        <v>76</v>
      </c>
      <c r="C65" s="58">
        <v>400.0</v>
      </c>
      <c r="D65" s="30">
        <v>1.0</v>
      </c>
      <c r="E65" s="31">
        <v>4.0</v>
      </c>
      <c r="F65" s="55"/>
      <c r="G65" s="30"/>
      <c r="H65" s="30">
        <v>4.0</v>
      </c>
      <c r="I65" s="33">
        <f t="shared" si="1"/>
        <v>0</v>
      </c>
      <c r="J65" s="34">
        <f t="shared" si="2"/>
        <v>0</v>
      </c>
      <c r="K65" s="35"/>
      <c r="L65" s="30"/>
      <c r="M65" s="36"/>
    </row>
    <row r="66" ht="21.0" customHeight="1">
      <c r="A66" s="17">
        <v>64.0</v>
      </c>
      <c r="B66" s="37" t="s">
        <v>77</v>
      </c>
      <c r="C66" s="38">
        <v>400.0</v>
      </c>
      <c r="D66" s="39">
        <v>3.0</v>
      </c>
      <c r="E66" s="40">
        <v>4.0</v>
      </c>
      <c r="F66" s="40">
        <v>4.0</v>
      </c>
      <c r="G66" s="39"/>
      <c r="H66" s="39">
        <v>8.0</v>
      </c>
      <c r="I66" s="23">
        <f t="shared" si="1"/>
        <v>0</v>
      </c>
      <c r="J66" s="24">
        <f t="shared" si="2"/>
        <v>0</v>
      </c>
      <c r="K66" s="25"/>
      <c r="L66" s="39"/>
      <c r="M66" s="42"/>
    </row>
    <row r="67" ht="21.0" customHeight="1">
      <c r="A67" s="56">
        <v>65.0</v>
      </c>
      <c r="B67" s="57" t="s">
        <v>78</v>
      </c>
      <c r="C67" s="58">
        <v>1300.0</v>
      </c>
      <c r="D67" s="30">
        <v>0.0</v>
      </c>
      <c r="E67" s="31">
        <v>3.0</v>
      </c>
      <c r="F67" s="55"/>
      <c r="G67" s="30"/>
      <c r="H67" s="30">
        <v>3.0</v>
      </c>
      <c r="I67" s="33">
        <f t="shared" si="1"/>
        <v>0</v>
      </c>
      <c r="J67" s="34">
        <f t="shared" si="2"/>
        <v>0</v>
      </c>
      <c r="K67" s="35"/>
      <c r="L67" s="30"/>
      <c r="M67" s="36"/>
    </row>
    <row r="68" ht="21.0" customHeight="1">
      <c r="A68" s="17">
        <v>66.0</v>
      </c>
      <c r="B68" s="37" t="s">
        <v>79</v>
      </c>
      <c r="C68" s="38">
        <v>250.0</v>
      </c>
      <c r="D68" s="39">
        <v>0.0</v>
      </c>
      <c r="E68" s="40">
        <v>0.0</v>
      </c>
      <c r="F68" s="54"/>
      <c r="G68" s="39"/>
      <c r="H68" s="39">
        <v>0.0</v>
      </c>
      <c r="I68" s="23">
        <f t="shared" si="1"/>
        <v>0</v>
      </c>
      <c r="J68" s="24">
        <f t="shared" si="2"/>
        <v>0</v>
      </c>
      <c r="K68" s="25"/>
      <c r="L68" s="39"/>
      <c r="M68" s="42"/>
    </row>
    <row r="69" ht="21.0" customHeight="1">
      <c r="A69" s="56">
        <v>67.0</v>
      </c>
      <c r="B69" s="57" t="s">
        <v>80</v>
      </c>
      <c r="C69" s="58">
        <v>350.0</v>
      </c>
      <c r="D69" s="30">
        <v>3.0</v>
      </c>
      <c r="E69" s="31">
        <v>5.0</v>
      </c>
      <c r="F69" s="31">
        <v>1.0</v>
      </c>
      <c r="G69" s="30"/>
      <c r="H69" s="30">
        <v>6.0</v>
      </c>
      <c r="I69" s="33">
        <f t="shared" si="1"/>
        <v>0</v>
      </c>
      <c r="J69" s="34">
        <f t="shared" si="2"/>
        <v>0</v>
      </c>
      <c r="K69" s="35"/>
      <c r="L69" s="30"/>
      <c r="M69" s="36"/>
    </row>
    <row r="70" ht="21.0" customHeight="1">
      <c r="A70" s="17">
        <v>68.0</v>
      </c>
      <c r="B70" s="37" t="s">
        <v>81</v>
      </c>
      <c r="C70" s="38">
        <v>400.0</v>
      </c>
      <c r="D70" s="39">
        <v>3.0</v>
      </c>
      <c r="E70" s="40">
        <v>6.0</v>
      </c>
      <c r="F70" s="54"/>
      <c r="G70" s="39"/>
      <c r="H70" s="39">
        <v>6.0</v>
      </c>
      <c r="I70" s="23">
        <f t="shared" si="1"/>
        <v>0</v>
      </c>
      <c r="J70" s="24">
        <f t="shared" si="2"/>
        <v>0</v>
      </c>
      <c r="K70" s="25"/>
      <c r="L70" s="39"/>
      <c r="M70" s="42"/>
    </row>
    <row r="71" ht="21.0" customHeight="1">
      <c r="A71" s="56">
        <v>69.0</v>
      </c>
      <c r="B71" s="57" t="s">
        <v>82</v>
      </c>
      <c r="C71" s="58">
        <v>400.0</v>
      </c>
      <c r="D71" s="30">
        <v>3.0</v>
      </c>
      <c r="E71" s="31">
        <v>4.0</v>
      </c>
      <c r="F71" s="31">
        <v>1.0</v>
      </c>
      <c r="G71" s="30"/>
      <c r="H71" s="30">
        <v>5.0</v>
      </c>
      <c r="I71" s="33">
        <f t="shared" si="1"/>
        <v>0</v>
      </c>
      <c r="J71" s="34">
        <f t="shared" si="2"/>
        <v>0</v>
      </c>
      <c r="K71" s="35"/>
      <c r="L71" s="30"/>
      <c r="M71" s="36"/>
    </row>
    <row r="72" ht="21.0" customHeight="1">
      <c r="A72" s="17">
        <v>70.0</v>
      </c>
      <c r="B72" s="37" t="s">
        <v>83</v>
      </c>
      <c r="C72" s="38">
        <v>450.0</v>
      </c>
      <c r="D72" s="39">
        <v>3.0</v>
      </c>
      <c r="E72" s="40">
        <v>6.0</v>
      </c>
      <c r="F72" s="54"/>
      <c r="G72" s="39"/>
      <c r="H72" s="39">
        <v>6.0</v>
      </c>
      <c r="I72" s="23">
        <f t="shared" si="1"/>
        <v>0</v>
      </c>
      <c r="J72" s="24">
        <f t="shared" si="2"/>
        <v>0</v>
      </c>
      <c r="K72" s="25"/>
      <c r="L72" s="39"/>
      <c r="M72" s="42"/>
    </row>
    <row r="73" ht="21.0" customHeight="1">
      <c r="A73" s="56">
        <v>71.0</v>
      </c>
      <c r="B73" s="57" t="s">
        <v>84</v>
      </c>
      <c r="C73" s="58">
        <v>550.0</v>
      </c>
      <c r="D73" s="30">
        <v>3.0</v>
      </c>
      <c r="E73" s="31">
        <v>1.0</v>
      </c>
      <c r="F73" s="31">
        <v>4.0</v>
      </c>
      <c r="G73" s="30"/>
      <c r="H73" s="30">
        <v>5.0</v>
      </c>
      <c r="I73" s="33">
        <f t="shared" si="1"/>
        <v>0</v>
      </c>
      <c r="J73" s="34">
        <f t="shared" si="2"/>
        <v>0</v>
      </c>
      <c r="K73" s="35"/>
      <c r="L73" s="30"/>
      <c r="M73" s="36"/>
    </row>
    <row r="74" ht="21.0" customHeight="1">
      <c r="A74" s="17">
        <v>72.0</v>
      </c>
      <c r="B74" s="37" t="s">
        <v>85</v>
      </c>
      <c r="C74" s="38">
        <v>1600.0</v>
      </c>
      <c r="D74" s="39">
        <v>2.0</v>
      </c>
      <c r="E74" s="40">
        <v>2.0</v>
      </c>
      <c r="F74" s="40">
        <v>1.0</v>
      </c>
      <c r="G74" s="39"/>
      <c r="H74" s="39">
        <v>3.0</v>
      </c>
      <c r="I74" s="23">
        <f t="shared" si="1"/>
        <v>0</v>
      </c>
      <c r="J74" s="24">
        <f t="shared" si="2"/>
        <v>0</v>
      </c>
      <c r="K74" s="25"/>
      <c r="L74" s="39"/>
      <c r="M74" s="42"/>
    </row>
    <row r="75" ht="21.0" customHeight="1">
      <c r="A75" s="56">
        <v>73.0</v>
      </c>
      <c r="B75" s="57" t="s">
        <v>86</v>
      </c>
      <c r="C75" s="58">
        <v>150.0</v>
      </c>
      <c r="D75" s="30">
        <v>4.0</v>
      </c>
      <c r="E75" s="31">
        <v>9.0</v>
      </c>
      <c r="F75" s="55"/>
      <c r="G75" s="30"/>
      <c r="H75" s="30">
        <v>9.0</v>
      </c>
      <c r="I75" s="33">
        <f t="shared" si="1"/>
        <v>0</v>
      </c>
      <c r="J75" s="34">
        <f t="shared" si="2"/>
        <v>0</v>
      </c>
      <c r="K75" s="35"/>
      <c r="L75" s="30"/>
      <c r="M75" s="36"/>
    </row>
    <row r="76" ht="21.0" customHeight="1">
      <c r="A76" s="17">
        <v>74.0</v>
      </c>
      <c r="B76" s="37" t="s">
        <v>87</v>
      </c>
      <c r="C76" s="38">
        <v>100.0</v>
      </c>
      <c r="D76" s="39">
        <v>4.0</v>
      </c>
      <c r="E76" s="40">
        <v>8.0</v>
      </c>
      <c r="F76" s="54"/>
      <c r="G76" s="39"/>
      <c r="H76" s="39">
        <v>8.0</v>
      </c>
      <c r="I76" s="23">
        <f t="shared" si="1"/>
        <v>0</v>
      </c>
      <c r="J76" s="24">
        <f t="shared" si="2"/>
        <v>0</v>
      </c>
      <c r="K76" s="25"/>
      <c r="L76" s="39"/>
      <c r="M76" s="42"/>
    </row>
    <row r="77" ht="21.0" customHeight="1">
      <c r="A77" s="56">
        <v>75.0</v>
      </c>
      <c r="B77" s="57" t="s">
        <v>88</v>
      </c>
      <c r="C77" s="58">
        <v>150.0</v>
      </c>
      <c r="D77" s="30">
        <v>1.0</v>
      </c>
      <c r="E77" s="31">
        <v>5.0</v>
      </c>
      <c r="F77" s="31">
        <v>2.0</v>
      </c>
      <c r="G77" s="30"/>
      <c r="H77" s="30">
        <v>7.0</v>
      </c>
      <c r="I77" s="33">
        <f t="shared" si="1"/>
        <v>0</v>
      </c>
      <c r="J77" s="34">
        <f t="shared" si="2"/>
        <v>0</v>
      </c>
      <c r="K77" s="35"/>
      <c r="L77" s="30"/>
      <c r="M77" s="36"/>
    </row>
    <row r="78" ht="21.0" customHeight="1">
      <c r="A78" s="17">
        <v>76.0</v>
      </c>
      <c r="B78" s="37" t="s">
        <v>89</v>
      </c>
      <c r="C78" s="38">
        <v>200.0</v>
      </c>
      <c r="D78" s="39">
        <v>1.0</v>
      </c>
      <c r="E78" s="40">
        <v>4.0</v>
      </c>
      <c r="F78" s="54"/>
      <c r="G78" s="39"/>
      <c r="H78" s="39">
        <v>4.0</v>
      </c>
      <c r="I78" s="23">
        <f t="shared" si="1"/>
        <v>0</v>
      </c>
      <c r="J78" s="24">
        <f t="shared" si="2"/>
        <v>0</v>
      </c>
      <c r="K78" s="25"/>
      <c r="L78" s="39"/>
      <c r="M78" s="42"/>
    </row>
    <row r="79" ht="21.0" customHeight="1">
      <c r="A79" s="56">
        <v>77.0</v>
      </c>
      <c r="B79" s="57" t="s">
        <v>90</v>
      </c>
      <c r="C79" s="58">
        <v>250.0</v>
      </c>
      <c r="D79" s="30">
        <v>1.0</v>
      </c>
      <c r="E79" s="31">
        <v>4.0</v>
      </c>
      <c r="F79" s="55"/>
      <c r="G79" s="30"/>
      <c r="H79" s="32">
        <v>3.0</v>
      </c>
      <c r="I79" s="33">
        <f t="shared" si="1"/>
        <v>1</v>
      </c>
      <c r="J79" s="34">
        <f t="shared" si="2"/>
        <v>250</v>
      </c>
      <c r="K79" s="35"/>
      <c r="L79" s="30"/>
      <c r="M79" s="36"/>
    </row>
    <row r="80" ht="21.0" customHeight="1">
      <c r="A80" s="17">
        <v>78.0</v>
      </c>
      <c r="B80" s="37" t="s">
        <v>91</v>
      </c>
      <c r="C80" s="38">
        <v>450.0</v>
      </c>
      <c r="D80" s="39">
        <v>1.0</v>
      </c>
      <c r="E80" s="40">
        <v>5.0</v>
      </c>
      <c r="F80" s="54"/>
      <c r="G80" s="39"/>
      <c r="H80" s="39">
        <v>5.0</v>
      </c>
      <c r="I80" s="23">
        <f t="shared" si="1"/>
        <v>0</v>
      </c>
      <c r="J80" s="24">
        <f t="shared" si="2"/>
        <v>0</v>
      </c>
      <c r="K80" s="25"/>
      <c r="L80" s="39"/>
      <c r="M80" s="42"/>
    </row>
    <row r="81" ht="21.0" customHeight="1">
      <c r="A81" s="56">
        <v>79.0</v>
      </c>
      <c r="B81" s="57" t="s">
        <v>92</v>
      </c>
      <c r="C81" s="58">
        <v>300.0</v>
      </c>
      <c r="D81" s="30">
        <v>4.0</v>
      </c>
      <c r="E81" s="31">
        <v>9.0</v>
      </c>
      <c r="F81" s="31">
        <v>6.0</v>
      </c>
      <c r="G81" s="30"/>
      <c r="H81" s="30">
        <v>15.0</v>
      </c>
      <c r="I81" s="33">
        <f t="shared" si="1"/>
        <v>0</v>
      </c>
      <c r="J81" s="34">
        <f t="shared" si="2"/>
        <v>0</v>
      </c>
      <c r="K81" s="35"/>
      <c r="L81" s="30"/>
      <c r="M81" s="36"/>
    </row>
    <row r="82" ht="21.0" customHeight="1">
      <c r="A82" s="17">
        <v>80.0</v>
      </c>
      <c r="B82" s="37" t="s">
        <v>93</v>
      </c>
      <c r="C82" s="38">
        <v>400.0</v>
      </c>
      <c r="D82" s="39">
        <v>3.0</v>
      </c>
      <c r="E82" s="40">
        <v>7.0</v>
      </c>
      <c r="F82" s="54"/>
      <c r="G82" s="39"/>
      <c r="H82" s="39">
        <v>7.0</v>
      </c>
      <c r="I82" s="23">
        <f t="shared" si="1"/>
        <v>0</v>
      </c>
      <c r="J82" s="24">
        <f t="shared" si="2"/>
        <v>0</v>
      </c>
      <c r="K82" s="25"/>
      <c r="L82" s="39"/>
      <c r="M82" s="42"/>
    </row>
    <row r="83" ht="21.0" customHeight="1">
      <c r="A83" s="56">
        <v>81.0</v>
      </c>
      <c r="B83" s="57" t="s">
        <v>94</v>
      </c>
      <c r="C83" s="58">
        <v>500.0</v>
      </c>
      <c r="D83" s="30">
        <v>1.0</v>
      </c>
      <c r="E83" s="31">
        <v>4.0</v>
      </c>
      <c r="F83" s="55"/>
      <c r="G83" s="30"/>
      <c r="H83" s="30">
        <v>4.0</v>
      </c>
      <c r="I83" s="33">
        <f t="shared" si="1"/>
        <v>0</v>
      </c>
      <c r="J83" s="34">
        <f t="shared" si="2"/>
        <v>0</v>
      </c>
      <c r="K83" s="35"/>
      <c r="L83" s="30"/>
      <c r="M83" s="36"/>
    </row>
    <row r="84" ht="21.0" customHeight="1">
      <c r="A84" s="17">
        <v>82.0</v>
      </c>
      <c r="B84" s="37" t="s">
        <v>95</v>
      </c>
      <c r="C84" s="38">
        <v>1500.0</v>
      </c>
      <c r="D84" s="39">
        <v>1.0</v>
      </c>
      <c r="E84" s="40">
        <v>4.0</v>
      </c>
      <c r="F84" s="54"/>
      <c r="G84" s="39"/>
      <c r="H84" s="39">
        <v>4.0</v>
      </c>
      <c r="I84" s="23">
        <f t="shared" si="1"/>
        <v>0</v>
      </c>
      <c r="J84" s="24">
        <f t="shared" si="2"/>
        <v>0</v>
      </c>
      <c r="K84" s="25"/>
      <c r="L84" s="39"/>
      <c r="M84" s="42"/>
    </row>
    <row r="85" ht="21.0" customHeight="1">
      <c r="A85" s="56">
        <v>83.0</v>
      </c>
      <c r="B85" s="57" t="s">
        <v>96</v>
      </c>
      <c r="C85" s="58">
        <v>300.0</v>
      </c>
      <c r="D85" s="30">
        <v>2.0</v>
      </c>
      <c r="E85" s="31">
        <v>4.0</v>
      </c>
      <c r="F85" s="55"/>
      <c r="G85" s="30"/>
      <c r="H85" s="30">
        <v>4.0</v>
      </c>
      <c r="I85" s="33">
        <f t="shared" si="1"/>
        <v>0</v>
      </c>
      <c r="J85" s="34">
        <f t="shared" si="2"/>
        <v>0</v>
      </c>
      <c r="K85" s="35"/>
      <c r="L85" s="30"/>
      <c r="M85" s="36"/>
    </row>
    <row r="86" ht="21.0" customHeight="1">
      <c r="A86" s="17">
        <v>84.0</v>
      </c>
      <c r="B86" s="37" t="s">
        <v>97</v>
      </c>
      <c r="C86" s="38">
        <v>400.0</v>
      </c>
      <c r="D86" s="39">
        <v>2.0</v>
      </c>
      <c r="E86" s="40">
        <v>1.0</v>
      </c>
      <c r="F86" s="54"/>
      <c r="G86" s="39"/>
      <c r="H86" s="39">
        <v>1.0</v>
      </c>
      <c r="I86" s="23">
        <f t="shared" si="1"/>
        <v>0</v>
      </c>
      <c r="J86" s="24">
        <f t="shared" si="2"/>
        <v>0</v>
      </c>
      <c r="K86" s="25"/>
      <c r="L86" s="39"/>
      <c r="M86" s="42"/>
    </row>
    <row r="87" ht="21.0" customHeight="1">
      <c r="A87" s="56">
        <v>85.0</v>
      </c>
      <c r="B87" s="57" t="s">
        <v>98</v>
      </c>
      <c r="C87" s="58">
        <v>500.0</v>
      </c>
      <c r="D87" s="30">
        <v>2.0</v>
      </c>
      <c r="E87" s="31">
        <v>3.0</v>
      </c>
      <c r="F87" s="55"/>
      <c r="G87" s="30"/>
      <c r="H87" s="30">
        <v>3.0</v>
      </c>
      <c r="I87" s="33">
        <f t="shared" si="1"/>
        <v>0</v>
      </c>
      <c r="J87" s="34">
        <f t="shared" si="2"/>
        <v>0</v>
      </c>
      <c r="K87" s="35"/>
      <c r="L87" s="30"/>
      <c r="M87" s="36"/>
    </row>
    <row r="88" ht="21.0" customHeight="1">
      <c r="A88" s="17">
        <v>86.0</v>
      </c>
      <c r="B88" s="37" t="s">
        <v>99</v>
      </c>
      <c r="C88" s="38">
        <v>200.0</v>
      </c>
      <c r="D88" s="39">
        <v>3.0</v>
      </c>
      <c r="E88" s="40">
        <v>7.0</v>
      </c>
      <c r="F88" s="54"/>
      <c r="G88" s="39"/>
      <c r="H88" s="39">
        <v>7.0</v>
      </c>
      <c r="I88" s="23">
        <f t="shared" si="1"/>
        <v>0</v>
      </c>
      <c r="J88" s="24">
        <f t="shared" si="2"/>
        <v>0</v>
      </c>
      <c r="K88" s="25"/>
      <c r="L88" s="39"/>
      <c r="M88" s="42"/>
    </row>
    <row r="89" ht="21.0" customHeight="1">
      <c r="A89" s="56">
        <v>87.0</v>
      </c>
      <c r="B89" s="57" t="s">
        <v>100</v>
      </c>
      <c r="C89" s="58">
        <v>200.0</v>
      </c>
      <c r="D89" s="30">
        <v>2.0</v>
      </c>
      <c r="E89" s="31">
        <v>5.0</v>
      </c>
      <c r="F89" s="31">
        <v>2.0</v>
      </c>
      <c r="G89" s="30"/>
      <c r="H89" s="30">
        <v>7.0</v>
      </c>
      <c r="I89" s="33">
        <f t="shared" si="1"/>
        <v>0</v>
      </c>
      <c r="J89" s="34">
        <f t="shared" si="2"/>
        <v>0</v>
      </c>
      <c r="K89" s="35"/>
      <c r="L89" s="30"/>
      <c r="M89" s="36"/>
    </row>
    <row r="90" ht="21.0" customHeight="1">
      <c r="A90" s="17">
        <v>88.0</v>
      </c>
      <c r="B90" s="37" t="s">
        <v>101</v>
      </c>
      <c r="C90" s="38">
        <v>200.0</v>
      </c>
      <c r="D90" s="39">
        <v>4.0</v>
      </c>
      <c r="E90" s="40">
        <v>0.0</v>
      </c>
      <c r="F90" s="54"/>
      <c r="G90" s="39"/>
      <c r="H90" s="39">
        <v>0.0</v>
      </c>
      <c r="I90" s="23">
        <f t="shared" si="1"/>
        <v>0</v>
      </c>
      <c r="J90" s="24">
        <f t="shared" si="2"/>
        <v>0</v>
      </c>
      <c r="K90" s="25"/>
      <c r="L90" s="39"/>
      <c r="M90" s="42"/>
    </row>
    <row r="91" ht="21.0" customHeight="1">
      <c r="A91" s="56">
        <v>89.0</v>
      </c>
      <c r="B91" s="57" t="s">
        <v>102</v>
      </c>
      <c r="C91" s="58">
        <v>200.0</v>
      </c>
      <c r="D91" s="30">
        <v>2.0</v>
      </c>
      <c r="E91" s="31">
        <v>7.0</v>
      </c>
      <c r="F91" s="31">
        <v>1.0</v>
      </c>
      <c r="G91" s="30"/>
      <c r="H91" s="30">
        <v>8.0</v>
      </c>
      <c r="I91" s="33">
        <f t="shared" si="1"/>
        <v>0</v>
      </c>
      <c r="J91" s="34">
        <f t="shared" si="2"/>
        <v>0</v>
      </c>
      <c r="K91" s="35"/>
      <c r="L91" s="30"/>
      <c r="M91" s="36"/>
    </row>
    <row r="92" ht="21.0" customHeight="1">
      <c r="A92" s="17">
        <v>90.0</v>
      </c>
      <c r="B92" s="37" t="s">
        <v>103</v>
      </c>
      <c r="C92" s="38">
        <v>150.0</v>
      </c>
      <c r="D92" s="39">
        <v>1.0</v>
      </c>
      <c r="E92" s="40">
        <v>5.0</v>
      </c>
      <c r="F92" s="54"/>
      <c r="G92" s="39"/>
      <c r="H92" s="39">
        <v>5.0</v>
      </c>
      <c r="I92" s="23">
        <f t="shared" si="1"/>
        <v>0</v>
      </c>
      <c r="J92" s="24">
        <f t="shared" si="2"/>
        <v>0</v>
      </c>
      <c r="K92" s="25"/>
      <c r="L92" s="39"/>
      <c r="M92" s="42"/>
    </row>
    <row r="93" ht="21.0" customHeight="1">
      <c r="A93" s="56">
        <v>91.0</v>
      </c>
      <c r="B93" s="57" t="s">
        <v>104</v>
      </c>
      <c r="C93" s="58">
        <v>100.0</v>
      </c>
      <c r="D93" s="30">
        <v>4.0</v>
      </c>
      <c r="E93" s="31">
        <v>12.0</v>
      </c>
      <c r="F93" s="55"/>
      <c r="G93" s="30"/>
      <c r="H93" s="30">
        <v>12.0</v>
      </c>
      <c r="I93" s="33">
        <f t="shared" si="1"/>
        <v>0</v>
      </c>
      <c r="J93" s="34">
        <f t="shared" si="2"/>
        <v>0</v>
      </c>
      <c r="K93" s="35"/>
      <c r="L93" s="30"/>
      <c r="M93" s="36"/>
    </row>
    <row r="94" ht="21.0" customHeight="1">
      <c r="A94" s="17">
        <v>92.0</v>
      </c>
      <c r="B94" s="37" t="s">
        <v>105</v>
      </c>
      <c r="C94" s="38">
        <v>150.0</v>
      </c>
      <c r="D94" s="39">
        <v>2.0</v>
      </c>
      <c r="E94" s="40">
        <v>5.0</v>
      </c>
      <c r="F94" s="40">
        <v>2.0</v>
      </c>
      <c r="G94" s="39"/>
      <c r="H94" s="39">
        <v>7.0</v>
      </c>
      <c r="I94" s="23">
        <f t="shared" si="1"/>
        <v>0</v>
      </c>
      <c r="J94" s="24">
        <f t="shared" si="2"/>
        <v>0</v>
      </c>
      <c r="K94" s="25"/>
      <c r="L94" s="39"/>
      <c r="M94" s="42"/>
    </row>
    <row r="95" ht="21.0" customHeight="1">
      <c r="A95" s="56">
        <v>93.0</v>
      </c>
      <c r="B95" s="57" t="s">
        <v>106</v>
      </c>
      <c r="C95" s="58">
        <v>200.0</v>
      </c>
      <c r="D95" s="30">
        <v>2.0</v>
      </c>
      <c r="E95" s="31">
        <v>5.0</v>
      </c>
      <c r="F95" s="31">
        <v>2.0</v>
      </c>
      <c r="G95" s="30"/>
      <c r="H95" s="30">
        <v>7.0</v>
      </c>
      <c r="I95" s="33">
        <f t="shared" si="1"/>
        <v>0</v>
      </c>
      <c r="J95" s="34">
        <f t="shared" si="2"/>
        <v>0</v>
      </c>
      <c r="K95" s="35"/>
      <c r="L95" s="30"/>
      <c r="M95" s="36"/>
    </row>
    <row r="96" ht="21.0" customHeight="1">
      <c r="A96" s="17">
        <v>94.0</v>
      </c>
      <c r="B96" s="37" t="s">
        <v>107</v>
      </c>
      <c r="C96" s="38">
        <v>150.0</v>
      </c>
      <c r="D96" s="39">
        <v>4.0</v>
      </c>
      <c r="E96" s="40">
        <v>7.0</v>
      </c>
      <c r="F96" s="54"/>
      <c r="G96" s="39"/>
      <c r="H96" s="39">
        <v>7.0</v>
      </c>
      <c r="I96" s="23">
        <f t="shared" si="1"/>
        <v>0</v>
      </c>
      <c r="J96" s="24">
        <f t="shared" si="2"/>
        <v>0</v>
      </c>
      <c r="K96" s="25"/>
      <c r="L96" s="39"/>
      <c r="M96" s="42"/>
    </row>
    <row r="97" ht="21.0" customHeight="1">
      <c r="A97" s="56">
        <v>95.0</v>
      </c>
      <c r="B97" s="57" t="s">
        <v>108</v>
      </c>
      <c r="C97" s="58">
        <v>200.0</v>
      </c>
      <c r="D97" s="30">
        <v>2.0</v>
      </c>
      <c r="E97" s="31">
        <v>7.0</v>
      </c>
      <c r="F97" s="55"/>
      <c r="G97" s="30"/>
      <c r="H97" s="30">
        <v>7.0</v>
      </c>
      <c r="I97" s="33">
        <f t="shared" si="1"/>
        <v>0</v>
      </c>
      <c r="J97" s="34">
        <f t="shared" si="2"/>
        <v>0</v>
      </c>
      <c r="K97" s="35"/>
      <c r="L97" s="30"/>
      <c r="M97" s="36"/>
    </row>
    <row r="98" ht="21.0" customHeight="1">
      <c r="A98" s="17">
        <v>96.0</v>
      </c>
      <c r="B98" s="37" t="s">
        <v>109</v>
      </c>
      <c r="C98" s="38">
        <v>250.0</v>
      </c>
      <c r="D98" s="39">
        <v>3.0</v>
      </c>
      <c r="E98" s="40">
        <v>3.0</v>
      </c>
      <c r="F98" s="54"/>
      <c r="G98" s="39"/>
      <c r="H98" s="39">
        <v>3.0</v>
      </c>
      <c r="I98" s="23">
        <f t="shared" si="1"/>
        <v>0</v>
      </c>
      <c r="J98" s="24">
        <f t="shared" si="2"/>
        <v>0</v>
      </c>
      <c r="K98" s="25"/>
      <c r="L98" s="39"/>
      <c r="M98" s="42"/>
    </row>
    <row r="99" ht="21.0" customHeight="1">
      <c r="A99" s="56">
        <v>97.0</v>
      </c>
      <c r="B99" s="57" t="s">
        <v>110</v>
      </c>
      <c r="C99" s="58">
        <v>300.0</v>
      </c>
      <c r="D99" s="43">
        <v>2.0</v>
      </c>
      <c r="E99" s="44">
        <v>3.0</v>
      </c>
      <c r="F99" s="52"/>
      <c r="G99" s="43"/>
      <c r="H99" s="45">
        <v>2.5</v>
      </c>
      <c r="I99" s="33">
        <f t="shared" si="1"/>
        <v>0.5</v>
      </c>
      <c r="J99" s="34">
        <f t="shared" si="2"/>
        <v>150</v>
      </c>
      <c r="K99" s="35"/>
      <c r="L99" s="43"/>
      <c r="M99" s="46"/>
    </row>
    <row r="100" ht="21.0" customHeight="1">
      <c r="A100" s="17">
        <v>98.0</v>
      </c>
      <c r="B100" s="37" t="s">
        <v>111</v>
      </c>
      <c r="C100" s="38">
        <v>300.0</v>
      </c>
      <c r="D100" s="47">
        <v>1.0</v>
      </c>
      <c r="E100" s="48">
        <v>2.5</v>
      </c>
      <c r="F100" s="48">
        <v>0.5</v>
      </c>
      <c r="G100" s="47"/>
      <c r="H100" s="47">
        <v>3.0</v>
      </c>
      <c r="I100" s="23">
        <f t="shared" si="1"/>
        <v>0</v>
      </c>
      <c r="J100" s="24">
        <f t="shared" si="2"/>
        <v>0</v>
      </c>
      <c r="K100" s="25"/>
      <c r="L100" s="47"/>
      <c r="M100" s="50"/>
    </row>
    <row r="101" ht="21.0" customHeight="1">
      <c r="A101" s="56">
        <v>99.0</v>
      </c>
      <c r="B101" s="57" t="s">
        <v>112</v>
      </c>
      <c r="C101" s="58">
        <v>150.0</v>
      </c>
      <c r="D101" s="30">
        <v>2.0</v>
      </c>
      <c r="E101" s="31">
        <v>5.0</v>
      </c>
      <c r="F101" s="55"/>
      <c r="G101" s="30"/>
      <c r="H101" s="30">
        <v>5.0</v>
      </c>
      <c r="I101" s="33">
        <f t="shared" si="1"/>
        <v>0</v>
      </c>
      <c r="J101" s="34">
        <f t="shared" si="2"/>
        <v>0</v>
      </c>
      <c r="K101" s="35"/>
      <c r="L101" s="30"/>
      <c r="M101" s="36"/>
    </row>
    <row r="102" ht="21.0" customHeight="1">
      <c r="A102" s="17">
        <v>100.0</v>
      </c>
      <c r="B102" s="37" t="s">
        <v>113</v>
      </c>
      <c r="C102" s="38">
        <v>1400.0</v>
      </c>
      <c r="D102" s="39">
        <v>1.0</v>
      </c>
      <c r="E102" s="40">
        <v>3.0</v>
      </c>
      <c r="F102" s="54"/>
      <c r="G102" s="39"/>
      <c r="H102" s="39">
        <v>3.0</v>
      </c>
      <c r="I102" s="23">
        <f t="shared" si="1"/>
        <v>0</v>
      </c>
      <c r="J102" s="24">
        <f t="shared" si="2"/>
        <v>0</v>
      </c>
      <c r="K102" s="25"/>
      <c r="L102" s="39"/>
      <c r="M102" s="42"/>
    </row>
    <row r="103" ht="21.0" customHeight="1">
      <c r="A103" s="56">
        <v>101.0</v>
      </c>
      <c r="B103" s="57" t="s">
        <v>114</v>
      </c>
      <c r="C103" s="58">
        <v>1800.0</v>
      </c>
      <c r="D103" s="30">
        <v>1.0</v>
      </c>
      <c r="E103" s="31">
        <v>1.0</v>
      </c>
      <c r="F103" s="55"/>
      <c r="G103" s="30"/>
      <c r="H103" s="30">
        <v>1.0</v>
      </c>
      <c r="I103" s="33">
        <f t="shared" si="1"/>
        <v>0</v>
      </c>
      <c r="J103" s="34">
        <f t="shared" si="2"/>
        <v>0</v>
      </c>
      <c r="K103" s="35"/>
      <c r="L103" s="30"/>
      <c r="M103" s="36"/>
    </row>
    <row r="104" ht="21.0" customHeight="1">
      <c r="A104" s="17">
        <v>102.0</v>
      </c>
      <c r="B104" s="37" t="s">
        <v>115</v>
      </c>
      <c r="C104" s="38">
        <v>200.0</v>
      </c>
      <c r="D104" s="39">
        <v>1.0</v>
      </c>
      <c r="E104" s="40">
        <v>0.0</v>
      </c>
      <c r="F104" s="54"/>
      <c r="G104" s="39"/>
      <c r="H104" s="39">
        <v>0.0</v>
      </c>
      <c r="I104" s="23">
        <f t="shared" si="1"/>
        <v>0</v>
      </c>
      <c r="J104" s="24">
        <f t="shared" si="2"/>
        <v>0</v>
      </c>
      <c r="K104" s="25"/>
      <c r="L104" s="39"/>
      <c r="M104" s="42"/>
    </row>
    <row r="105" ht="21.0" customHeight="1">
      <c r="A105" s="56">
        <v>103.0</v>
      </c>
      <c r="B105" s="71" t="s">
        <v>116</v>
      </c>
      <c r="C105" s="58">
        <v>150.0</v>
      </c>
      <c r="D105" s="30">
        <v>1.0</v>
      </c>
      <c r="E105" s="31">
        <v>0.0</v>
      </c>
      <c r="F105" s="55"/>
      <c r="G105" s="30"/>
      <c r="H105" s="30">
        <v>0.0</v>
      </c>
      <c r="I105" s="33">
        <f t="shared" si="1"/>
        <v>0</v>
      </c>
      <c r="J105" s="34">
        <f t="shared" si="2"/>
        <v>0</v>
      </c>
      <c r="K105" s="35"/>
      <c r="L105" s="30"/>
      <c r="M105" s="36"/>
    </row>
    <row r="106" ht="21.0" customHeight="1">
      <c r="A106" s="17">
        <v>104.0</v>
      </c>
      <c r="B106" s="37" t="s">
        <v>117</v>
      </c>
      <c r="C106" s="38">
        <v>150.0</v>
      </c>
      <c r="D106" s="39">
        <v>2.0</v>
      </c>
      <c r="E106" s="40">
        <v>0.0</v>
      </c>
      <c r="F106" s="54"/>
      <c r="G106" s="39"/>
      <c r="H106" s="39">
        <v>0.0</v>
      </c>
      <c r="I106" s="23">
        <f t="shared" si="1"/>
        <v>0</v>
      </c>
      <c r="J106" s="24">
        <f t="shared" si="2"/>
        <v>0</v>
      </c>
      <c r="K106" s="25"/>
      <c r="L106" s="39"/>
      <c r="M106" s="42"/>
    </row>
    <row r="107" ht="21.0" customHeight="1">
      <c r="A107" s="56">
        <v>105.0</v>
      </c>
      <c r="B107" s="57" t="s">
        <v>118</v>
      </c>
      <c r="C107" s="58">
        <v>200.0</v>
      </c>
      <c r="D107" s="30">
        <v>1.0</v>
      </c>
      <c r="E107" s="31">
        <v>4.0</v>
      </c>
      <c r="F107" s="55"/>
      <c r="G107" s="30"/>
      <c r="H107" s="30">
        <v>4.0</v>
      </c>
      <c r="I107" s="33">
        <f t="shared" si="1"/>
        <v>0</v>
      </c>
      <c r="J107" s="34">
        <f t="shared" si="2"/>
        <v>0</v>
      </c>
      <c r="K107" s="35"/>
      <c r="L107" s="30"/>
      <c r="M107" s="36"/>
    </row>
    <row r="108" ht="21.0" customHeight="1">
      <c r="A108" s="17">
        <v>106.0</v>
      </c>
      <c r="B108" s="37" t="s">
        <v>119</v>
      </c>
      <c r="C108" s="38">
        <v>400.0</v>
      </c>
      <c r="D108" s="47">
        <v>2.0</v>
      </c>
      <c r="E108" s="48">
        <v>3.0</v>
      </c>
      <c r="F108" s="51"/>
      <c r="G108" s="47"/>
      <c r="H108" s="47">
        <v>3.0</v>
      </c>
      <c r="I108" s="23">
        <f t="shared" si="1"/>
        <v>0</v>
      </c>
      <c r="J108" s="24">
        <f t="shared" si="2"/>
        <v>0</v>
      </c>
      <c r="K108" s="25"/>
      <c r="L108" s="47"/>
      <c r="M108" s="50"/>
    </row>
    <row r="109" ht="21.0" customHeight="1">
      <c r="A109" s="56">
        <v>107.0</v>
      </c>
      <c r="B109" s="57" t="s">
        <v>120</v>
      </c>
      <c r="C109" s="58">
        <v>200.0</v>
      </c>
      <c r="D109" s="43">
        <v>5.0</v>
      </c>
      <c r="E109" s="44">
        <v>0.0</v>
      </c>
      <c r="F109" s="52"/>
      <c r="G109" s="43"/>
      <c r="H109" s="43">
        <v>0.0</v>
      </c>
      <c r="I109" s="33">
        <f t="shared" si="1"/>
        <v>0</v>
      </c>
      <c r="J109" s="34">
        <f t="shared" si="2"/>
        <v>0</v>
      </c>
      <c r="K109" s="35"/>
      <c r="L109" s="43"/>
      <c r="M109" s="46"/>
    </row>
    <row r="110" ht="21.0" customHeight="1">
      <c r="A110" s="17">
        <v>108.0</v>
      </c>
      <c r="B110" s="37" t="s">
        <v>121</v>
      </c>
      <c r="C110" s="38">
        <v>350.0</v>
      </c>
      <c r="D110" s="39">
        <v>3.0</v>
      </c>
      <c r="E110" s="40">
        <v>3.0</v>
      </c>
      <c r="F110" s="54"/>
      <c r="G110" s="39"/>
      <c r="H110" s="39">
        <v>3.0</v>
      </c>
      <c r="I110" s="23">
        <f t="shared" si="1"/>
        <v>0</v>
      </c>
      <c r="J110" s="24">
        <f t="shared" si="2"/>
        <v>0</v>
      </c>
      <c r="K110" s="25"/>
      <c r="L110" s="39"/>
      <c r="M110" s="42"/>
    </row>
    <row r="111" ht="21.0" customHeight="1">
      <c r="A111" s="56">
        <v>109.0</v>
      </c>
      <c r="B111" s="57" t="s">
        <v>122</v>
      </c>
      <c r="C111" s="58">
        <v>250.0</v>
      </c>
      <c r="D111" s="30">
        <v>1.0</v>
      </c>
      <c r="E111" s="31">
        <v>0.0</v>
      </c>
      <c r="F111" s="55"/>
      <c r="G111" s="30"/>
      <c r="H111" s="30">
        <v>0.0</v>
      </c>
      <c r="I111" s="33">
        <f t="shared" si="1"/>
        <v>0</v>
      </c>
      <c r="J111" s="34">
        <f t="shared" si="2"/>
        <v>0</v>
      </c>
      <c r="K111" s="35"/>
      <c r="L111" s="30"/>
      <c r="M111" s="36"/>
    </row>
    <row r="112" ht="21.0" customHeight="1">
      <c r="A112" s="17">
        <v>110.0</v>
      </c>
      <c r="B112" s="37" t="s">
        <v>123</v>
      </c>
      <c r="C112" s="38">
        <v>550.0</v>
      </c>
      <c r="D112" s="39">
        <v>1.0</v>
      </c>
      <c r="E112" s="40">
        <v>0.0</v>
      </c>
      <c r="F112" s="54"/>
      <c r="G112" s="39"/>
      <c r="H112" s="39">
        <v>0.0</v>
      </c>
      <c r="I112" s="23">
        <f t="shared" si="1"/>
        <v>0</v>
      </c>
      <c r="J112" s="24">
        <f t="shared" si="2"/>
        <v>0</v>
      </c>
      <c r="K112" s="25"/>
      <c r="L112" s="39"/>
      <c r="M112" s="42"/>
    </row>
    <row r="113" ht="21.0" customHeight="1">
      <c r="A113" s="56">
        <v>111.0</v>
      </c>
      <c r="B113" s="57" t="s">
        <v>124</v>
      </c>
      <c r="C113" s="58">
        <v>800.0</v>
      </c>
      <c r="D113" s="30">
        <v>1.0</v>
      </c>
      <c r="E113" s="31">
        <v>3.0</v>
      </c>
      <c r="F113" s="55"/>
      <c r="G113" s="30"/>
      <c r="H113" s="30">
        <v>3.0</v>
      </c>
      <c r="I113" s="33">
        <f t="shared" si="1"/>
        <v>0</v>
      </c>
      <c r="J113" s="34">
        <f t="shared" si="2"/>
        <v>0</v>
      </c>
      <c r="K113" s="35"/>
      <c r="L113" s="30"/>
      <c r="M113" s="36"/>
    </row>
    <row r="114" ht="21.0" customHeight="1">
      <c r="A114" s="17">
        <v>112.0</v>
      </c>
      <c r="B114" s="37" t="s">
        <v>125</v>
      </c>
      <c r="C114" s="38">
        <v>2000.0</v>
      </c>
      <c r="D114" s="39">
        <v>1.0</v>
      </c>
      <c r="E114" s="40">
        <v>2.0</v>
      </c>
      <c r="F114" s="54"/>
      <c r="G114" s="39"/>
      <c r="H114" s="39">
        <v>2.0</v>
      </c>
      <c r="I114" s="23">
        <f t="shared" si="1"/>
        <v>0</v>
      </c>
      <c r="J114" s="24">
        <f t="shared" si="2"/>
        <v>0</v>
      </c>
      <c r="K114" s="25"/>
      <c r="L114" s="39"/>
      <c r="M114" s="42"/>
    </row>
    <row r="115" ht="21.0" customHeight="1">
      <c r="A115" s="56">
        <v>113.0</v>
      </c>
      <c r="B115" s="57" t="s">
        <v>126</v>
      </c>
      <c r="C115" s="58">
        <v>300.0</v>
      </c>
      <c r="D115" s="43">
        <v>1.0</v>
      </c>
      <c r="E115" s="44">
        <v>2.0</v>
      </c>
      <c r="F115" s="135">
        <v>1.0</v>
      </c>
      <c r="G115" s="43"/>
      <c r="H115" s="45">
        <v>3.0</v>
      </c>
      <c r="I115" s="33">
        <f t="shared" si="1"/>
        <v>0</v>
      </c>
      <c r="J115" s="34">
        <f t="shared" si="2"/>
        <v>0</v>
      </c>
      <c r="K115" s="35"/>
      <c r="L115" s="43"/>
      <c r="M115" s="46"/>
    </row>
    <row r="116" ht="21.0" customHeight="1">
      <c r="A116" s="17">
        <v>114.0</v>
      </c>
      <c r="B116" s="37" t="s">
        <v>127</v>
      </c>
      <c r="C116" s="38">
        <v>200.0</v>
      </c>
      <c r="D116" s="39">
        <v>0.0</v>
      </c>
      <c r="E116" s="40">
        <v>2.0</v>
      </c>
      <c r="F116" s="54"/>
      <c r="G116" s="39"/>
      <c r="H116" s="39">
        <v>2.0</v>
      </c>
      <c r="I116" s="23">
        <f t="shared" si="1"/>
        <v>0</v>
      </c>
      <c r="J116" s="24">
        <f t="shared" si="2"/>
        <v>0</v>
      </c>
      <c r="K116" s="25"/>
      <c r="L116" s="39"/>
      <c r="M116" s="42"/>
    </row>
    <row r="117" ht="21.0" customHeight="1">
      <c r="A117" s="56">
        <v>115.0</v>
      </c>
      <c r="B117" s="57" t="s">
        <v>128</v>
      </c>
      <c r="C117" s="58">
        <v>250.0</v>
      </c>
      <c r="D117" s="30">
        <v>0.0</v>
      </c>
      <c r="E117" s="31">
        <v>3.0</v>
      </c>
      <c r="F117" s="55"/>
      <c r="G117" s="30"/>
      <c r="H117" s="30">
        <v>3.0</v>
      </c>
      <c r="I117" s="33">
        <f t="shared" si="1"/>
        <v>0</v>
      </c>
      <c r="J117" s="34">
        <f t="shared" si="2"/>
        <v>0</v>
      </c>
      <c r="K117" s="35"/>
      <c r="L117" s="30"/>
      <c r="M117" s="36"/>
    </row>
    <row r="118" ht="21.0" customHeight="1">
      <c r="A118" s="17">
        <v>116.0</v>
      </c>
      <c r="B118" s="37" t="s">
        <v>129</v>
      </c>
      <c r="C118" s="38">
        <v>250.0</v>
      </c>
      <c r="D118" s="39">
        <v>0.0</v>
      </c>
      <c r="E118" s="40">
        <v>2.0</v>
      </c>
      <c r="F118" s="54"/>
      <c r="G118" s="39"/>
      <c r="H118" s="39">
        <v>2.0</v>
      </c>
      <c r="I118" s="23">
        <f t="shared" si="1"/>
        <v>0</v>
      </c>
      <c r="J118" s="24">
        <f t="shared" si="2"/>
        <v>0</v>
      </c>
      <c r="K118" s="25"/>
      <c r="L118" s="39"/>
      <c r="M118" s="42"/>
    </row>
    <row r="119" ht="21.0" customHeight="1">
      <c r="A119" s="56">
        <v>117.0</v>
      </c>
      <c r="B119" s="57" t="s">
        <v>130</v>
      </c>
      <c r="C119" s="58">
        <v>250.0</v>
      </c>
      <c r="D119" s="30">
        <v>1.0</v>
      </c>
      <c r="E119" s="31">
        <v>0.0</v>
      </c>
      <c r="F119" s="55"/>
      <c r="G119" s="30"/>
      <c r="H119" s="30">
        <v>0.0</v>
      </c>
      <c r="I119" s="33">
        <f t="shared" si="1"/>
        <v>0</v>
      </c>
      <c r="J119" s="34">
        <f t="shared" si="2"/>
        <v>0</v>
      </c>
      <c r="K119" s="35"/>
      <c r="L119" s="30"/>
      <c r="M119" s="36"/>
    </row>
    <row r="120" ht="21.0" customHeight="1">
      <c r="A120" s="17">
        <v>118.0</v>
      </c>
      <c r="B120" s="37" t="s">
        <v>131</v>
      </c>
      <c r="C120" s="38">
        <v>250.0</v>
      </c>
      <c r="D120" s="39">
        <v>1.0</v>
      </c>
      <c r="E120" s="40">
        <v>3.0</v>
      </c>
      <c r="F120" s="54"/>
      <c r="G120" s="39"/>
      <c r="H120" s="39">
        <v>3.0</v>
      </c>
      <c r="I120" s="23">
        <f t="shared" si="1"/>
        <v>0</v>
      </c>
      <c r="J120" s="24">
        <f t="shared" si="2"/>
        <v>0</v>
      </c>
      <c r="K120" s="25"/>
      <c r="L120" s="39"/>
      <c r="M120" s="42"/>
    </row>
    <row r="121" ht="21.0" customHeight="1">
      <c r="A121" s="56">
        <v>119.0</v>
      </c>
      <c r="B121" s="57" t="s">
        <v>132</v>
      </c>
      <c r="C121" s="58">
        <v>750.0</v>
      </c>
      <c r="D121" s="30">
        <v>1.0</v>
      </c>
      <c r="E121" s="31">
        <v>0.0</v>
      </c>
      <c r="F121" s="55"/>
      <c r="G121" s="30"/>
      <c r="H121" s="30">
        <v>0.0</v>
      </c>
      <c r="I121" s="33">
        <f t="shared" si="1"/>
        <v>0</v>
      </c>
      <c r="J121" s="34">
        <f t="shared" si="2"/>
        <v>0</v>
      </c>
      <c r="K121" s="35"/>
      <c r="L121" s="30"/>
      <c r="M121" s="36"/>
    </row>
    <row r="122" ht="21.0" customHeight="1">
      <c r="A122" s="17">
        <v>120.0</v>
      </c>
      <c r="B122" s="37" t="s">
        <v>133</v>
      </c>
      <c r="C122" s="38">
        <v>800.0</v>
      </c>
      <c r="D122" s="39">
        <v>3.0</v>
      </c>
      <c r="E122" s="40">
        <v>3.0</v>
      </c>
      <c r="F122" s="54"/>
      <c r="G122" s="39"/>
      <c r="H122" s="39">
        <v>3.0</v>
      </c>
      <c r="I122" s="23">
        <f t="shared" si="1"/>
        <v>0</v>
      </c>
      <c r="J122" s="24">
        <f t="shared" si="2"/>
        <v>0</v>
      </c>
      <c r="K122" s="25"/>
      <c r="L122" s="39"/>
      <c r="M122" s="42"/>
    </row>
    <row r="123" ht="21.0" customHeight="1">
      <c r="A123" s="56">
        <v>121.0</v>
      </c>
      <c r="B123" s="57" t="s">
        <v>134</v>
      </c>
      <c r="C123" s="58">
        <v>150.0</v>
      </c>
      <c r="D123" s="30">
        <v>2.0</v>
      </c>
      <c r="E123" s="136">
        <v>8.0</v>
      </c>
      <c r="F123" s="55"/>
      <c r="G123" s="30"/>
      <c r="H123" s="137">
        <v>8.0</v>
      </c>
      <c r="I123" s="33">
        <f t="shared" si="1"/>
        <v>0</v>
      </c>
      <c r="J123" s="34">
        <f t="shared" si="2"/>
        <v>0</v>
      </c>
      <c r="K123" s="35"/>
      <c r="L123" s="30"/>
      <c r="M123" s="36"/>
    </row>
    <row r="124" ht="21.0" customHeight="1">
      <c r="A124" s="17">
        <v>122.0</v>
      </c>
      <c r="B124" s="37" t="s">
        <v>135</v>
      </c>
      <c r="C124" s="38">
        <v>150.0</v>
      </c>
      <c r="D124" s="39">
        <v>6.0</v>
      </c>
      <c r="E124" s="40">
        <v>4.0</v>
      </c>
      <c r="F124" s="40">
        <v>5.0</v>
      </c>
      <c r="G124" s="72"/>
      <c r="H124" s="39">
        <v>9.0</v>
      </c>
      <c r="I124" s="23">
        <f t="shared" si="1"/>
        <v>0</v>
      </c>
      <c r="J124" s="73">
        <f t="shared" si="2"/>
        <v>0</v>
      </c>
      <c r="K124" s="25"/>
      <c r="L124" s="39"/>
      <c r="M124" s="42"/>
    </row>
    <row r="125" ht="21.0" customHeight="1">
      <c r="A125" s="17">
        <v>123.0</v>
      </c>
      <c r="B125" s="37" t="s">
        <v>159</v>
      </c>
      <c r="C125" s="38">
        <v>100.0</v>
      </c>
      <c r="D125" s="39">
        <v>7.0</v>
      </c>
      <c r="E125" s="40">
        <v>1.0</v>
      </c>
      <c r="F125" s="40">
        <v>3.0</v>
      </c>
      <c r="G125" s="72"/>
      <c r="H125" s="39">
        <v>4.0</v>
      </c>
      <c r="I125" s="23">
        <f t="shared" si="1"/>
        <v>0</v>
      </c>
      <c r="J125" s="73">
        <f t="shared" si="2"/>
        <v>0</v>
      </c>
      <c r="K125" s="25"/>
      <c r="L125" s="39"/>
      <c r="M125" s="42"/>
    </row>
    <row r="126" ht="22.5" customHeight="1">
      <c r="B126" s="74"/>
      <c r="J126" s="75">
        <f>SUM(J3:J125)</f>
        <v>5250</v>
      </c>
    </row>
    <row r="127" ht="14.25" customHeight="1">
      <c r="B127" s="74"/>
    </row>
    <row r="128" ht="15.0" customHeight="1">
      <c r="B128" s="74"/>
    </row>
    <row r="129" ht="105.0" customHeight="1">
      <c r="B129" s="74"/>
      <c r="C129" s="76" t="s">
        <v>136</v>
      </c>
      <c r="D129" s="77"/>
      <c r="E129" s="78"/>
      <c r="F129" s="79" t="s">
        <v>160</v>
      </c>
      <c r="G129" s="79" t="s">
        <v>161</v>
      </c>
      <c r="H129" s="79" t="s">
        <v>162</v>
      </c>
      <c r="I129" s="79"/>
      <c r="J129" s="79"/>
      <c r="K129" s="80"/>
      <c r="L129" s="81" t="s">
        <v>138</v>
      </c>
    </row>
    <row r="130" ht="21.0" customHeight="1">
      <c r="B130" s="74"/>
      <c r="C130" s="82" t="s">
        <v>139</v>
      </c>
      <c r="D130" s="83"/>
      <c r="E130" s="84"/>
      <c r="F130" s="138">
        <v>1300.0</v>
      </c>
      <c r="G130" s="138">
        <v>2450.0</v>
      </c>
      <c r="H130" s="138">
        <v>1500.0</v>
      </c>
      <c r="I130" s="86"/>
      <c r="J130" s="86"/>
      <c r="K130" s="87"/>
      <c r="L130" s="88">
        <f>(E130+F130+G130+H130+I130+J130+K130)-J126</f>
        <v>0</v>
      </c>
    </row>
    <row r="131" ht="21.0" customHeight="1">
      <c r="B131" s="74"/>
      <c r="C131" s="89" t="s">
        <v>140</v>
      </c>
      <c r="D131" s="90"/>
      <c r="E131" s="91"/>
      <c r="F131" s="85">
        <v>80.0</v>
      </c>
      <c r="G131" s="85">
        <v>80.0</v>
      </c>
      <c r="H131" s="85">
        <v>80.0</v>
      </c>
      <c r="I131" s="93"/>
      <c r="J131" s="93"/>
      <c r="K131" s="94"/>
      <c r="L131" s="95"/>
    </row>
    <row r="132" ht="21.0" customHeight="1">
      <c r="B132" s="74"/>
      <c r="C132" s="89" t="s">
        <v>141</v>
      </c>
      <c r="D132" s="90"/>
      <c r="E132" s="91"/>
      <c r="F132" s="93"/>
      <c r="G132" s="93"/>
      <c r="H132" s="93"/>
      <c r="I132" s="93"/>
      <c r="J132" s="93"/>
      <c r="K132" s="94"/>
      <c r="L132" s="95"/>
    </row>
    <row r="133" ht="21.0" customHeight="1">
      <c r="B133" s="74"/>
      <c r="C133" s="89" t="s">
        <v>142</v>
      </c>
      <c r="D133" s="90"/>
      <c r="E133" s="91"/>
      <c r="F133" s="93"/>
      <c r="G133" s="93"/>
      <c r="H133" s="93"/>
      <c r="I133" s="93"/>
      <c r="J133" s="93"/>
      <c r="K133" s="94"/>
      <c r="L133" s="95"/>
    </row>
    <row r="134" ht="21.0" customHeight="1">
      <c r="B134" s="74"/>
      <c r="C134" s="89" t="s">
        <v>143</v>
      </c>
      <c r="D134" s="90"/>
      <c r="E134" s="91"/>
      <c r="F134" s="93"/>
      <c r="G134" s="93"/>
      <c r="H134" s="93"/>
      <c r="I134" s="93"/>
      <c r="J134" s="93"/>
      <c r="K134" s="94"/>
      <c r="L134" s="95"/>
    </row>
    <row r="135" ht="21.0" customHeight="1">
      <c r="B135" s="74"/>
      <c r="C135" s="89" t="s">
        <v>144</v>
      </c>
      <c r="D135" s="90"/>
      <c r="E135" s="91"/>
      <c r="F135" s="93"/>
      <c r="G135" s="93"/>
      <c r="H135" s="93"/>
      <c r="I135" s="93"/>
      <c r="J135" s="93"/>
      <c r="K135" s="94"/>
      <c r="L135" s="95"/>
    </row>
    <row r="136" ht="21.0" customHeight="1">
      <c r="B136" s="74"/>
      <c r="C136" s="89" t="s">
        <v>145</v>
      </c>
      <c r="D136" s="96"/>
      <c r="E136" s="91"/>
      <c r="F136" s="93"/>
      <c r="G136" s="93"/>
      <c r="H136" s="93"/>
      <c r="I136" s="93"/>
      <c r="J136" s="93"/>
      <c r="K136" s="94"/>
      <c r="L136" s="95"/>
    </row>
    <row r="137" ht="21.0" customHeight="1">
      <c r="B137" s="74"/>
      <c r="C137" s="89" t="s">
        <v>146</v>
      </c>
      <c r="D137" s="96"/>
      <c r="E137" s="91"/>
      <c r="F137" s="85">
        <v>120.0</v>
      </c>
      <c r="G137" s="93"/>
      <c r="H137" s="93"/>
      <c r="I137" s="93"/>
      <c r="J137" s="93"/>
      <c r="K137" s="94"/>
      <c r="L137" s="95"/>
    </row>
    <row r="138" ht="21.0" customHeight="1">
      <c r="B138" s="74"/>
      <c r="C138" s="89" t="s">
        <v>147</v>
      </c>
      <c r="D138" s="96"/>
      <c r="E138" s="91"/>
      <c r="F138" s="93"/>
      <c r="G138" s="93"/>
      <c r="H138" s="93"/>
      <c r="I138" s="93"/>
      <c r="J138" s="93"/>
      <c r="K138" s="94"/>
      <c r="L138" s="95"/>
    </row>
    <row r="139" ht="21.0" customHeight="1">
      <c r="B139" s="74"/>
      <c r="C139" s="89" t="s">
        <v>148</v>
      </c>
      <c r="D139" s="96"/>
      <c r="E139" s="91"/>
      <c r="F139" s="93"/>
      <c r="G139" s="93"/>
      <c r="H139" s="93"/>
      <c r="I139" s="93"/>
      <c r="J139" s="93"/>
      <c r="K139" s="94"/>
      <c r="L139" s="95"/>
    </row>
    <row r="140" ht="21.0" customHeight="1">
      <c r="B140" s="74"/>
      <c r="C140" s="89" t="s">
        <v>149</v>
      </c>
      <c r="D140" s="90"/>
      <c r="E140" s="91"/>
      <c r="F140" s="93"/>
      <c r="G140" s="93"/>
      <c r="H140" s="93"/>
      <c r="I140" s="93"/>
      <c r="J140" s="93"/>
      <c r="K140" s="94"/>
      <c r="L140" s="95"/>
    </row>
    <row r="141" ht="21.0" customHeight="1">
      <c r="B141" s="74"/>
      <c r="C141" s="89" t="s">
        <v>150</v>
      </c>
      <c r="D141" s="97"/>
      <c r="E141" s="91"/>
      <c r="F141" s="93"/>
      <c r="G141" s="93"/>
      <c r="H141" s="93"/>
      <c r="I141" s="93"/>
      <c r="J141" s="93"/>
      <c r="K141" s="94"/>
      <c r="L141" s="95"/>
    </row>
    <row r="142" ht="21.0" customHeight="1">
      <c r="B142" s="74"/>
      <c r="C142" s="98" t="s">
        <v>163</v>
      </c>
      <c r="D142" s="96"/>
      <c r="E142" s="91"/>
      <c r="F142" s="93"/>
      <c r="G142" s="93"/>
      <c r="H142" s="93"/>
      <c r="I142" s="93"/>
      <c r="J142" s="93"/>
      <c r="K142" s="94"/>
      <c r="L142" s="95"/>
    </row>
    <row r="143" ht="21.0" customHeight="1">
      <c r="B143" s="74"/>
      <c r="C143" s="139"/>
      <c r="D143" s="140"/>
      <c r="E143" s="91"/>
      <c r="F143" s="93"/>
      <c r="G143" s="93"/>
      <c r="H143" s="93"/>
      <c r="I143" s="93"/>
      <c r="J143" s="93"/>
      <c r="K143" s="94"/>
      <c r="L143" s="95"/>
    </row>
    <row r="144" ht="21.0" customHeight="1">
      <c r="C144" s="99" t="s">
        <v>152</v>
      </c>
      <c r="D144" s="100"/>
      <c r="E144" s="101"/>
      <c r="F144" s="102">
        <v>1100.0</v>
      </c>
      <c r="G144" s="102">
        <v>2370.0</v>
      </c>
      <c r="H144" s="102">
        <v>1420.0</v>
      </c>
      <c r="I144" s="103"/>
      <c r="J144" s="103"/>
      <c r="K144" s="104"/>
      <c r="L144" s="95"/>
    </row>
    <row r="145" ht="21.0" customHeight="1">
      <c r="C145" s="105" t="s">
        <v>153</v>
      </c>
      <c r="D145" s="83"/>
      <c r="E145" s="106"/>
      <c r="F145" s="106">
        <f t="shared" ref="F145:K145" si="3">F130-F131-F132+F133+F134-F135-F136-F137-F138-F139-F140-F141-F142-F143</f>
        <v>1100</v>
      </c>
      <c r="G145" s="106">
        <f t="shared" si="3"/>
        <v>2370</v>
      </c>
      <c r="H145" s="106">
        <f t="shared" si="3"/>
        <v>1420</v>
      </c>
      <c r="I145" s="106">
        <f t="shared" si="3"/>
        <v>0</v>
      </c>
      <c r="J145" s="106">
        <f t="shared" si="3"/>
        <v>0</v>
      </c>
      <c r="K145" s="106">
        <f t="shared" si="3"/>
        <v>0</v>
      </c>
      <c r="L145" s="95"/>
    </row>
    <row r="146" ht="21.0" customHeight="1">
      <c r="C146" s="107" t="s">
        <v>154</v>
      </c>
      <c r="D146" s="108"/>
      <c r="E146" s="109"/>
      <c r="F146" s="109">
        <f t="shared" ref="F146:K146" si="4">F144-F145</f>
        <v>0</v>
      </c>
      <c r="G146" s="109">
        <f t="shared" si="4"/>
        <v>0</v>
      </c>
      <c r="H146" s="109">
        <f t="shared" si="4"/>
        <v>0</v>
      </c>
      <c r="I146" s="109">
        <f t="shared" si="4"/>
        <v>0</v>
      </c>
      <c r="J146" s="109">
        <f t="shared" si="4"/>
        <v>0</v>
      </c>
      <c r="K146" s="110">
        <f t="shared" si="4"/>
        <v>0</v>
      </c>
      <c r="L146" s="111"/>
    </row>
    <row r="147" ht="21.0" customHeight="1">
      <c r="C147" s="112"/>
      <c r="D147" s="113"/>
      <c r="E147" s="113"/>
      <c r="F147" s="114"/>
      <c r="G147" s="114"/>
      <c r="H147" s="115" t="s">
        <v>155</v>
      </c>
      <c r="I147" s="6"/>
      <c r="J147" s="7"/>
      <c r="K147" s="116">
        <f>E146+F146+G146+H146+I146+J146+K146</f>
        <v>0</v>
      </c>
      <c r="L147" s="111"/>
    </row>
    <row r="148" ht="21.0" customHeight="1">
      <c r="C148" s="112"/>
      <c r="D148" s="113"/>
      <c r="E148" s="117"/>
      <c r="F148" s="114"/>
      <c r="G148" s="114"/>
      <c r="H148" s="118"/>
    </row>
    <row r="149" ht="26.25" customHeight="1">
      <c r="C149" s="74"/>
      <c r="E149" s="119" t="s">
        <v>156</v>
      </c>
      <c r="F149" s="77"/>
      <c r="G149" s="120">
        <f>J126</f>
        <v>5250</v>
      </c>
    </row>
    <row r="150" ht="26.25" customHeight="1">
      <c r="C150" s="74"/>
      <c r="E150" s="121" t="s">
        <v>157</v>
      </c>
      <c r="F150" s="122"/>
      <c r="G150" s="120">
        <f>E144+F144+G144+H144+I144+J144+K144</f>
        <v>4890</v>
      </c>
    </row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E1"/>
    <mergeCell ref="F1:M1"/>
    <mergeCell ref="C129:D129"/>
    <mergeCell ref="C130:D130"/>
    <mergeCell ref="C131:D131"/>
    <mergeCell ref="C132:D132"/>
    <mergeCell ref="C133:D133"/>
    <mergeCell ref="C142:D142"/>
    <mergeCell ref="C144:D144"/>
    <mergeCell ref="C145:D145"/>
    <mergeCell ref="C146:D146"/>
    <mergeCell ref="H147:J147"/>
    <mergeCell ref="E149:F149"/>
    <mergeCell ref="E150:F150"/>
    <mergeCell ref="C134:D134"/>
    <mergeCell ref="C135:D135"/>
    <mergeCell ref="C136:D136"/>
    <mergeCell ref="C137:D137"/>
    <mergeCell ref="C138:D138"/>
    <mergeCell ref="C139:D139"/>
    <mergeCell ref="C140:D140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2" width="50.57"/>
    <col customWidth="1" min="3" max="3" width="13.43"/>
    <col customWidth="1" min="4" max="4" width="14.57"/>
    <col customWidth="1" min="5" max="5" width="26.14"/>
    <col customWidth="1" min="6" max="6" width="20.86"/>
    <col customWidth="1" min="7" max="7" width="23.14"/>
    <col customWidth="1" min="8" max="8" width="24.43"/>
    <col customWidth="1" min="9" max="10" width="22.57"/>
    <col customWidth="1" min="11" max="11" width="23.0"/>
    <col customWidth="1" min="12" max="12" width="19.14"/>
    <col customWidth="1" min="13" max="13" width="23.57"/>
  </cols>
  <sheetData>
    <row r="1" ht="26.25" customHeight="1">
      <c r="A1" s="1" t="s">
        <v>164</v>
      </c>
      <c r="B1" s="2"/>
      <c r="C1" s="2"/>
      <c r="D1" s="2"/>
      <c r="E1" s="3"/>
      <c r="F1" s="5"/>
      <c r="G1" s="6"/>
      <c r="H1" s="6"/>
      <c r="I1" s="6"/>
      <c r="J1" s="6"/>
      <c r="K1" s="6"/>
      <c r="L1" s="6"/>
      <c r="M1" s="7"/>
    </row>
    <row r="2" ht="42.0" customHeight="1">
      <c r="A2" s="8" t="s">
        <v>1</v>
      </c>
      <c r="B2" s="9" t="s">
        <v>2</v>
      </c>
      <c r="C2" s="10" t="s">
        <v>3</v>
      </c>
      <c r="D2" s="10" t="s">
        <v>4</v>
      </c>
      <c r="E2" s="11" t="s">
        <v>5</v>
      </c>
      <c r="F2" s="12" t="s">
        <v>6</v>
      </c>
      <c r="G2" s="12" t="s">
        <v>7</v>
      </c>
      <c r="H2" s="13" t="s">
        <v>8</v>
      </c>
      <c r="I2" s="14" t="s">
        <v>9</v>
      </c>
      <c r="J2" s="14" t="s">
        <v>10</v>
      </c>
      <c r="K2" s="14" t="s">
        <v>11</v>
      </c>
      <c r="L2" s="15" t="s">
        <v>12</v>
      </c>
      <c r="M2" s="16" t="s">
        <v>13</v>
      </c>
    </row>
    <row r="3" ht="21.0" customHeight="1">
      <c r="A3" s="17">
        <v>1.0</v>
      </c>
      <c r="B3" s="18" t="s">
        <v>14</v>
      </c>
      <c r="C3" s="19">
        <v>100.0</v>
      </c>
      <c r="D3" s="20">
        <v>40.0</v>
      </c>
      <c r="E3" s="20">
        <v>38.0</v>
      </c>
      <c r="F3" s="20"/>
      <c r="G3" s="20"/>
      <c r="H3" s="22">
        <v>37.0</v>
      </c>
      <c r="I3" s="23">
        <f t="shared" ref="I3:I124" si="1">E3+F3-G3-H3</f>
        <v>1</v>
      </c>
      <c r="J3" s="24">
        <f t="shared" ref="J3:J124" si="2">C3*I3</f>
        <v>100</v>
      </c>
      <c r="K3" s="25"/>
      <c r="L3" s="20"/>
      <c r="M3" s="26"/>
    </row>
    <row r="4" ht="21.0" customHeight="1">
      <c r="A4" s="27">
        <v>2.0</v>
      </c>
      <c r="B4" s="28" t="s">
        <v>15</v>
      </c>
      <c r="C4" s="29">
        <v>100.0</v>
      </c>
      <c r="D4" s="30">
        <v>40.0</v>
      </c>
      <c r="E4" s="124">
        <v>33.0</v>
      </c>
      <c r="F4" s="124"/>
      <c r="G4" s="124"/>
      <c r="H4" s="125">
        <v>31.0</v>
      </c>
      <c r="I4" s="33">
        <f t="shared" si="1"/>
        <v>2</v>
      </c>
      <c r="J4" s="126">
        <f t="shared" si="2"/>
        <v>200</v>
      </c>
      <c r="K4" s="127"/>
      <c r="L4" s="124"/>
      <c r="M4" s="128"/>
    </row>
    <row r="5" ht="21.0" customHeight="1">
      <c r="A5" s="17">
        <v>3.0</v>
      </c>
      <c r="B5" s="37" t="s">
        <v>16</v>
      </c>
      <c r="C5" s="38">
        <v>200.0</v>
      </c>
      <c r="D5" s="39">
        <v>20.0</v>
      </c>
      <c r="E5" s="39">
        <v>12.0</v>
      </c>
      <c r="F5" s="39"/>
      <c r="G5" s="39"/>
      <c r="H5" s="39">
        <v>12.0</v>
      </c>
      <c r="I5" s="23">
        <f t="shared" si="1"/>
        <v>0</v>
      </c>
      <c r="J5" s="24">
        <f t="shared" si="2"/>
        <v>0</v>
      </c>
      <c r="K5" s="25"/>
      <c r="L5" s="39"/>
      <c r="M5" s="42"/>
    </row>
    <row r="6" ht="21.0" customHeight="1">
      <c r="A6" s="27">
        <v>4.0</v>
      </c>
      <c r="B6" s="28" t="s">
        <v>17</v>
      </c>
      <c r="C6" s="29">
        <v>200.0</v>
      </c>
      <c r="D6" s="30">
        <v>20.0</v>
      </c>
      <c r="E6" s="124">
        <v>15.0</v>
      </c>
      <c r="F6" s="124"/>
      <c r="G6" s="124"/>
      <c r="H6" s="124">
        <v>15.0</v>
      </c>
      <c r="I6" s="33">
        <f t="shared" si="1"/>
        <v>0</v>
      </c>
      <c r="J6" s="126">
        <f t="shared" si="2"/>
        <v>0</v>
      </c>
      <c r="K6" s="127"/>
      <c r="L6" s="124"/>
      <c r="M6" s="128"/>
    </row>
    <row r="7" ht="21.0" customHeight="1">
      <c r="A7" s="17">
        <v>5.0</v>
      </c>
      <c r="B7" s="37" t="s">
        <v>18</v>
      </c>
      <c r="C7" s="38">
        <v>200.0</v>
      </c>
      <c r="D7" s="39">
        <v>20.0</v>
      </c>
      <c r="E7" s="39">
        <v>11.0</v>
      </c>
      <c r="F7" s="39"/>
      <c r="G7" s="39"/>
      <c r="H7" s="41">
        <v>10.0</v>
      </c>
      <c r="I7" s="23">
        <f t="shared" si="1"/>
        <v>1</v>
      </c>
      <c r="J7" s="24">
        <f t="shared" si="2"/>
        <v>200</v>
      </c>
      <c r="K7" s="25"/>
      <c r="L7" s="39"/>
      <c r="M7" s="42"/>
    </row>
    <row r="8" ht="21.0" customHeight="1">
      <c r="A8" s="27">
        <v>6.0</v>
      </c>
      <c r="B8" s="28" t="s">
        <v>19</v>
      </c>
      <c r="C8" s="29">
        <v>200.0</v>
      </c>
      <c r="D8" s="43">
        <v>15.0</v>
      </c>
      <c r="E8" s="130">
        <v>16.5</v>
      </c>
      <c r="F8" s="130"/>
      <c r="G8" s="130"/>
      <c r="H8" s="130">
        <v>16.5</v>
      </c>
      <c r="I8" s="33">
        <f t="shared" si="1"/>
        <v>0</v>
      </c>
      <c r="J8" s="126">
        <f t="shared" si="2"/>
        <v>0</v>
      </c>
      <c r="K8" s="127"/>
      <c r="L8" s="130"/>
      <c r="M8" s="132"/>
    </row>
    <row r="9" ht="21.0" customHeight="1">
      <c r="A9" s="17">
        <v>7.0</v>
      </c>
      <c r="B9" s="37" t="s">
        <v>20</v>
      </c>
      <c r="C9" s="38">
        <v>200.0</v>
      </c>
      <c r="D9" s="47">
        <v>12.0</v>
      </c>
      <c r="E9" s="47">
        <v>8.5</v>
      </c>
      <c r="F9" s="47"/>
      <c r="G9" s="47"/>
      <c r="H9" s="49">
        <v>7.0</v>
      </c>
      <c r="I9" s="23">
        <f t="shared" si="1"/>
        <v>1.5</v>
      </c>
      <c r="J9" s="24">
        <f t="shared" si="2"/>
        <v>300</v>
      </c>
      <c r="K9" s="25"/>
      <c r="L9" s="47"/>
      <c r="M9" s="50"/>
    </row>
    <row r="10" ht="21.0" customHeight="1">
      <c r="A10" s="27">
        <v>8.0</v>
      </c>
      <c r="B10" s="28" t="s">
        <v>21</v>
      </c>
      <c r="C10" s="29">
        <v>200.0</v>
      </c>
      <c r="D10" s="43">
        <v>8.0</v>
      </c>
      <c r="E10" s="130">
        <v>7.5</v>
      </c>
      <c r="F10" s="130"/>
      <c r="G10" s="130"/>
      <c r="H10" s="131">
        <v>5.5</v>
      </c>
      <c r="I10" s="33">
        <f t="shared" si="1"/>
        <v>2</v>
      </c>
      <c r="J10" s="126">
        <f t="shared" si="2"/>
        <v>400</v>
      </c>
      <c r="K10" s="127"/>
      <c r="L10" s="130"/>
      <c r="M10" s="132"/>
    </row>
    <row r="11" ht="21.0" customHeight="1">
      <c r="A11" s="17">
        <v>9.0</v>
      </c>
      <c r="B11" s="37" t="s">
        <v>22</v>
      </c>
      <c r="C11" s="38">
        <v>200.0</v>
      </c>
      <c r="D11" s="47">
        <v>5.0</v>
      </c>
      <c r="E11" s="47">
        <v>5.5</v>
      </c>
      <c r="F11" s="47"/>
      <c r="G11" s="47"/>
      <c r="H11" s="49">
        <v>5.0</v>
      </c>
      <c r="I11" s="23">
        <f t="shared" si="1"/>
        <v>0.5</v>
      </c>
      <c r="J11" s="24">
        <f t="shared" si="2"/>
        <v>100</v>
      </c>
      <c r="K11" s="25"/>
      <c r="L11" s="47"/>
      <c r="M11" s="50"/>
    </row>
    <row r="12" ht="21.0" customHeight="1">
      <c r="A12" s="27">
        <v>10.0</v>
      </c>
      <c r="B12" s="28" t="s">
        <v>23</v>
      </c>
      <c r="C12" s="29">
        <v>200.0</v>
      </c>
      <c r="D12" s="43">
        <v>5.0</v>
      </c>
      <c r="E12" s="130">
        <v>3.5</v>
      </c>
      <c r="F12" s="130"/>
      <c r="G12" s="130"/>
      <c r="H12" s="130">
        <v>3.5</v>
      </c>
      <c r="I12" s="33">
        <f t="shared" si="1"/>
        <v>0</v>
      </c>
      <c r="J12" s="126">
        <f t="shared" si="2"/>
        <v>0</v>
      </c>
      <c r="K12" s="127"/>
      <c r="L12" s="130"/>
      <c r="M12" s="132"/>
    </row>
    <row r="13" ht="21.0" customHeight="1">
      <c r="A13" s="17">
        <v>11.0</v>
      </c>
      <c r="B13" s="37" t="s">
        <v>24</v>
      </c>
      <c r="C13" s="38">
        <v>300.0</v>
      </c>
      <c r="D13" s="47">
        <v>10.0</v>
      </c>
      <c r="E13" s="47">
        <v>5.0</v>
      </c>
      <c r="F13" s="47"/>
      <c r="G13" s="47"/>
      <c r="H13" s="49">
        <v>4.0</v>
      </c>
      <c r="I13" s="23">
        <f t="shared" si="1"/>
        <v>1</v>
      </c>
      <c r="J13" s="24">
        <f t="shared" si="2"/>
        <v>300</v>
      </c>
      <c r="K13" s="25"/>
      <c r="L13" s="47"/>
      <c r="M13" s="50"/>
    </row>
    <row r="14" ht="21.0" customHeight="1">
      <c r="A14" s="27">
        <v>12.0</v>
      </c>
      <c r="B14" s="28" t="s">
        <v>25</v>
      </c>
      <c r="C14" s="29">
        <v>300.0</v>
      </c>
      <c r="D14" s="43">
        <v>2.0</v>
      </c>
      <c r="E14" s="130">
        <v>2.0</v>
      </c>
      <c r="F14" s="130"/>
      <c r="G14" s="130"/>
      <c r="H14" s="130">
        <v>2.0</v>
      </c>
      <c r="I14" s="33">
        <f t="shared" si="1"/>
        <v>0</v>
      </c>
      <c r="J14" s="126">
        <f t="shared" si="2"/>
        <v>0</v>
      </c>
      <c r="K14" s="127"/>
      <c r="L14" s="130"/>
      <c r="M14" s="132"/>
    </row>
    <row r="15" ht="21.0" customHeight="1">
      <c r="A15" s="17">
        <v>13.0</v>
      </c>
      <c r="B15" s="37" t="s">
        <v>26</v>
      </c>
      <c r="C15" s="38">
        <v>200.0</v>
      </c>
      <c r="D15" s="47">
        <v>5.0</v>
      </c>
      <c r="E15" s="47">
        <v>4.0</v>
      </c>
      <c r="F15" s="47"/>
      <c r="G15" s="47"/>
      <c r="H15" s="49">
        <v>3.5</v>
      </c>
      <c r="I15" s="23">
        <f t="shared" si="1"/>
        <v>0.5</v>
      </c>
      <c r="J15" s="24">
        <f t="shared" si="2"/>
        <v>100</v>
      </c>
      <c r="K15" s="25"/>
      <c r="L15" s="47"/>
      <c r="M15" s="50"/>
    </row>
    <row r="16" ht="21.0" customHeight="1">
      <c r="A16" s="27">
        <v>14.0</v>
      </c>
      <c r="B16" s="28" t="s">
        <v>27</v>
      </c>
      <c r="C16" s="29">
        <v>300.0</v>
      </c>
      <c r="D16" s="43">
        <v>1.5</v>
      </c>
      <c r="E16" s="130">
        <v>2.0</v>
      </c>
      <c r="F16" s="130"/>
      <c r="G16" s="130"/>
      <c r="H16" s="130">
        <v>2.0</v>
      </c>
      <c r="I16" s="33">
        <f t="shared" si="1"/>
        <v>0</v>
      </c>
      <c r="J16" s="126">
        <f t="shared" si="2"/>
        <v>0</v>
      </c>
      <c r="K16" s="127"/>
      <c r="L16" s="130"/>
      <c r="M16" s="132"/>
    </row>
    <row r="17" ht="21.0" customHeight="1">
      <c r="A17" s="17">
        <v>15.0</v>
      </c>
      <c r="B17" s="37" t="s">
        <v>28</v>
      </c>
      <c r="C17" s="38">
        <v>300.0</v>
      </c>
      <c r="D17" s="47">
        <v>1.5</v>
      </c>
      <c r="E17" s="47">
        <v>2.0</v>
      </c>
      <c r="F17" s="47"/>
      <c r="G17" s="47"/>
      <c r="H17" s="47">
        <v>2.0</v>
      </c>
      <c r="I17" s="23">
        <f t="shared" si="1"/>
        <v>0</v>
      </c>
      <c r="J17" s="24">
        <f t="shared" si="2"/>
        <v>0</v>
      </c>
      <c r="K17" s="25"/>
      <c r="L17" s="47"/>
      <c r="M17" s="50"/>
    </row>
    <row r="18" ht="21.0" customHeight="1">
      <c r="A18" s="27">
        <v>16.0</v>
      </c>
      <c r="B18" s="28" t="s">
        <v>29</v>
      </c>
      <c r="C18" s="29">
        <v>300.0</v>
      </c>
      <c r="D18" s="43">
        <v>1.5</v>
      </c>
      <c r="E18" s="130">
        <v>2.0</v>
      </c>
      <c r="F18" s="130"/>
      <c r="G18" s="130"/>
      <c r="H18" s="131">
        <v>1.5</v>
      </c>
      <c r="I18" s="33">
        <f t="shared" si="1"/>
        <v>0.5</v>
      </c>
      <c r="J18" s="126">
        <f t="shared" si="2"/>
        <v>150</v>
      </c>
      <c r="K18" s="127"/>
      <c r="L18" s="130"/>
      <c r="M18" s="132"/>
    </row>
    <row r="19" ht="21.0" customHeight="1">
      <c r="A19" s="17">
        <v>17.0</v>
      </c>
      <c r="B19" s="37" t="s">
        <v>30</v>
      </c>
      <c r="C19" s="38">
        <v>300.0</v>
      </c>
      <c r="D19" s="47">
        <v>1.0</v>
      </c>
      <c r="E19" s="47">
        <v>2.0</v>
      </c>
      <c r="F19" s="47"/>
      <c r="G19" s="47"/>
      <c r="H19" s="47">
        <v>2.0</v>
      </c>
      <c r="I19" s="23">
        <f t="shared" si="1"/>
        <v>0</v>
      </c>
      <c r="J19" s="24">
        <f t="shared" si="2"/>
        <v>0</v>
      </c>
      <c r="K19" s="25"/>
      <c r="L19" s="47"/>
      <c r="M19" s="50"/>
    </row>
    <row r="20" ht="21.0" customHeight="1">
      <c r="A20" s="27">
        <v>18.0</v>
      </c>
      <c r="B20" s="28" t="s">
        <v>31</v>
      </c>
      <c r="C20" s="29">
        <v>100.0</v>
      </c>
      <c r="D20" s="30">
        <v>20.0</v>
      </c>
      <c r="E20" s="124">
        <v>0.0</v>
      </c>
      <c r="F20" s="124"/>
      <c r="G20" s="124"/>
      <c r="H20" s="124">
        <v>0.0</v>
      </c>
      <c r="I20" s="33">
        <f t="shared" si="1"/>
        <v>0</v>
      </c>
      <c r="J20" s="126">
        <f t="shared" si="2"/>
        <v>0</v>
      </c>
      <c r="K20" s="127"/>
      <c r="L20" s="124"/>
      <c r="M20" s="128"/>
    </row>
    <row r="21" ht="21.0" customHeight="1">
      <c r="A21" s="17">
        <v>19.0</v>
      </c>
      <c r="B21" s="37" t="s">
        <v>32</v>
      </c>
      <c r="C21" s="38">
        <v>100.0</v>
      </c>
      <c r="D21" s="39">
        <v>20.0</v>
      </c>
      <c r="E21" s="39">
        <v>13.0</v>
      </c>
      <c r="F21" s="39"/>
      <c r="G21" s="39"/>
      <c r="H21" s="39">
        <v>13.0</v>
      </c>
      <c r="I21" s="23">
        <f t="shared" si="1"/>
        <v>0</v>
      </c>
      <c r="J21" s="24">
        <f t="shared" si="2"/>
        <v>0</v>
      </c>
      <c r="K21" s="25"/>
      <c r="L21" s="39"/>
      <c r="M21" s="42"/>
    </row>
    <row r="22" ht="21.0" customHeight="1">
      <c r="A22" s="27">
        <v>20.0</v>
      </c>
      <c r="B22" s="28" t="s">
        <v>33</v>
      </c>
      <c r="C22" s="29">
        <v>100.0</v>
      </c>
      <c r="D22" s="30">
        <v>20.0</v>
      </c>
      <c r="E22" s="124">
        <v>14.0</v>
      </c>
      <c r="F22" s="124"/>
      <c r="G22" s="124"/>
      <c r="H22" s="124">
        <v>14.0</v>
      </c>
      <c r="I22" s="33">
        <f t="shared" si="1"/>
        <v>0</v>
      </c>
      <c r="J22" s="126">
        <f t="shared" si="2"/>
        <v>0</v>
      </c>
      <c r="K22" s="127"/>
      <c r="L22" s="124"/>
      <c r="M22" s="128"/>
    </row>
    <row r="23" ht="21.0" customHeight="1">
      <c r="A23" s="17">
        <v>21.0</v>
      </c>
      <c r="B23" s="37" t="s">
        <v>34</v>
      </c>
      <c r="C23" s="38">
        <v>100.0</v>
      </c>
      <c r="D23" s="39">
        <v>20.0</v>
      </c>
      <c r="E23" s="39">
        <v>13.0</v>
      </c>
      <c r="F23" s="39"/>
      <c r="G23" s="39"/>
      <c r="H23" s="41">
        <v>12.0</v>
      </c>
      <c r="I23" s="23">
        <f t="shared" si="1"/>
        <v>1</v>
      </c>
      <c r="J23" s="24">
        <f t="shared" si="2"/>
        <v>100</v>
      </c>
      <c r="K23" s="25"/>
      <c r="L23" s="39"/>
      <c r="M23" s="42"/>
    </row>
    <row r="24" ht="21.0" customHeight="1">
      <c r="A24" s="27">
        <v>22.0</v>
      </c>
      <c r="B24" s="28" t="s">
        <v>35</v>
      </c>
      <c r="C24" s="29">
        <v>100.0</v>
      </c>
      <c r="D24" s="30">
        <v>15.0</v>
      </c>
      <c r="E24" s="124">
        <v>15.0</v>
      </c>
      <c r="F24" s="124"/>
      <c r="G24" s="124"/>
      <c r="H24" s="124">
        <v>15.0</v>
      </c>
      <c r="I24" s="33">
        <f t="shared" si="1"/>
        <v>0</v>
      </c>
      <c r="J24" s="126">
        <f t="shared" si="2"/>
        <v>0</v>
      </c>
      <c r="K24" s="127"/>
      <c r="L24" s="124"/>
      <c r="M24" s="128"/>
    </row>
    <row r="25" ht="21.0" customHeight="1">
      <c r="A25" s="17">
        <v>23.0</v>
      </c>
      <c r="B25" s="37" t="s">
        <v>36</v>
      </c>
      <c r="C25" s="38">
        <v>150.0</v>
      </c>
      <c r="D25" s="39">
        <v>3.0</v>
      </c>
      <c r="E25" s="39">
        <v>2.0</v>
      </c>
      <c r="F25" s="39"/>
      <c r="G25" s="39"/>
      <c r="H25" s="39">
        <v>2.0</v>
      </c>
      <c r="I25" s="23">
        <f t="shared" si="1"/>
        <v>0</v>
      </c>
      <c r="J25" s="24">
        <f t="shared" si="2"/>
        <v>0</v>
      </c>
      <c r="K25" s="25"/>
      <c r="L25" s="39"/>
      <c r="M25" s="42"/>
    </row>
    <row r="26" ht="21.0" customHeight="1">
      <c r="A26" s="27">
        <v>24.0</v>
      </c>
      <c r="B26" s="28" t="s">
        <v>37</v>
      </c>
      <c r="C26" s="29">
        <v>100.0</v>
      </c>
      <c r="D26" s="30">
        <v>15.0</v>
      </c>
      <c r="E26" s="124">
        <v>10.0</v>
      </c>
      <c r="F26" s="124"/>
      <c r="G26" s="124"/>
      <c r="H26" s="124">
        <v>10.0</v>
      </c>
      <c r="I26" s="33">
        <f t="shared" si="1"/>
        <v>0</v>
      </c>
      <c r="J26" s="126">
        <f t="shared" si="2"/>
        <v>0</v>
      </c>
      <c r="K26" s="127"/>
      <c r="L26" s="124"/>
      <c r="M26" s="128"/>
    </row>
    <row r="27" ht="21.0" customHeight="1">
      <c r="A27" s="17">
        <v>25.0</v>
      </c>
      <c r="B27" s="37" t="s">
        <v>38</v>
      </c>
      <c r="C27" s="38">
        <v>100.0</v>
      </c>
      <c r="D27" s="39">
        <v>15.0</v>
      </c>
      <c r="E27" s="39">
        <v>14.0</v>
      </c>
      <c r="F27" s="39"/>
      <c r="G27" s="39"/>
      <c r="H27" s="39">
        <v>14.0</v>
      </c>
      <c r="I27" s="23">
        <f t="shared" si="1"/>
        <v>0</v>
      </c>
      <c r="J27" s="24">
        <f t="shared" si="2"/>
        <v>0</v>
      </c>
      <c r="K27" s="25"/>
      <c r="L27" s="39"/>
      <c r="M27" s="42"/>
    </row>
    <row r="28" ht="21.0" customHeight="1">
      <c r="A28" s="27">
        <v>26.0</v>
      </c>
      <c r="B28" s="28" t="s">
        <v>39</v>
      </c>
      <c r="C28" s="29">
        <v>100.0</v>
      </c>
      <c r="D28" s="30">
        <v>15.0</v>
      </c>
      <c r="E28" s="124">
        <v>13.0</v>
      </c>
      <c r="F28" s="124"/>
      <c r="G28" s="124"/>
      <c r="H28" s="124">
        <v>13.0</v>
      </c>
      <c r="I28" s="33">
        <f t="shared" si="1"/>
        <v>0</v>
      </c>
      <c r="J28" s="126">
        <f t="shared" si="2"/>
        <v>0</v>
      </c>
      <c r="K28" s="127"/>
      <c r="L28" s="124"/>
      <c r="M28" s="128"/>
    </row>
    <row r="29" ht="21.0" customHeight="1">
      <c r="A29" s="17">
        <v>27.0</v>
      </c>
      <c r="B29" s="37" t="s">
        <v>40</v>
      </c>
      <c r="C29" s="38">
        <v>100.0</v>
      </c>
      <c r="D29" s="39">
        <v>6.0</v>
      </c>
      <c r="E29" s="39">
        <v>6.0</v>
      </c>
      <c r="F29" s="39"/>
      <c r="G29" s="39"/>
      <c r="H29" s="39">
        <v>6.0</v>
      </c>
      <c r="I29" s="23">
        <f t="shared" si="1"/>
        <v>0</v>
      </c>
      <c r="J29" s="24">
        <f t="shared" si="2"/>
        <v>0</v>
      </c>
      <c r="K29" s="25"/>
      <c r="L29" s="39"/>
      <c r="M29" s="42"/>
    </row>
    <row r="30" ht="21.0" customHeight="1">
      <c r="A30" s="27">
        <v>28.0</v>
      </c>
      <c r="B30" s="28" t="s">
        <v>41</v>
      </c>
      <c r="C30" s="29">
        <v>100.0</v>
      </c>
      <c r="D30" s="30">
        <v>8.0</v>
      </c>
      <c r="E30" s="124">
        <v>6.0</v>
      </c>
      <c r="F30" s="124"/>
      <c r="G30" s="124"/>
      <c r="H30" s="124">
        <v>6.0</v>
      </c>
      <c r="I30" s="33">
        <f t="shared" si="1"/>
        <v>0</v>
      </c>
      <c r="J30" s="126">
        <f t="shared" si="2"/>
        <v>0</v>
      </c>
      <c r="K30" s="127"/>
      <c r="L30" s="124"/>
      <c r="M30" s="128"/>
    </row>
    <row r="31" ht="21.0" customHeight="1">
      <c r="A31" s="17">
        <v>29.0</v>
      </c>
      <c r="B31" s="37" t="s">
        <v>42</v>
      </c>
      <c r="C31" s="38">
        <v>100.0</v>
      </c>
      <c r="D31" s="39">
        <v>10.0</v>
      </c>
      <c r="E31" s="39">
        <v>4.0</v>
      </c>
      <c r="F31" s="39"/>
      <c r="G31" s="39"/>
      <c r="H31" s="41">
        <v>3.0</v>
      </c>
      <c r="I31" s="23">
        <f t="shared" si="1"/>
        <v>1</v>
      </c>
      <c r="J31" s="24">
        <f t="shared" si="2"/>
        <v>100</v>
      </c>
      <c r="K31" s="25"/>
      <c r="L31" s="39"/>
      <c r="M31" s="42"/>
    </row>
    <row r="32" ht="21.0" customHeight="1">
      <c r="A32" s="27">
        <v>30.0</v>
      </c>
      <c r="B32" s="28" t="s">
        <v>43</v>
      </c>
      <c r="C32" s="29">
        <v>100.0</v>
      </c>
      <c r="D32" s="30">
        <v>10.0</v>
      </c>
      <c r="E32" s="124">
        <v>3.0</v>
      </c>
      <c r="F32" s="124"/>
      <c r="G32" s="124"/>
      <c r="H32" s="124">
        <v>3.0</v>
      </c>
      <c r="I32" s="33">
        <f t="shared" si="1"/>
        <v>0</v>
      </c>
      <c r="J32" s="126">
        <f t="shared" si="2"/>
        <v>0</v>
      </c>
      <c r="K32" s="127"/>
      <c r="L32" s="124"/>
      <c r="M32" s="128"/>
    </row>
    <row r="33" ht="21.0" customHeight="1">
      <c r="A33" s="17">
        <v>31.0</v>
      </c>
      <c r="B33" s="37" t="s">
        <v>44</v>
      </c>
      <c r="C33" s="38">
        <v>200.0</v>
      </c>
      <c r="D33" s="39">
        <v>2.0</v>
      </c>
      <c r="E33" s="39">
        <v>2.0</v>
      </c>
      <c r="F33" s="39"/>
      <c r="G33" s="39"/>
      <c r="H33" s="39">
        <v>2.0</v>
      </c>
      <c r="I33" s="23">
        <f t="shared" si="1"/>
        <v>0</v>
      </c>
      <c r="J33" s="24">
        <f t="shared" si="2"/>
        <v>0</v>
      </c>
      <c r="K33" s="25"/>
      <c r="L33" s="39"/>
      <c r="M33" s="42"/>
    </row>
    <row r="34" ht="21.0" customHeight="1">
      <c r="A34" s="27">
        <v>32.0</v>
      </c>
      <c r="B34" s="28" t="s">
        <v>45</v>
      </c>
      <c r="C34" s="29">
        <v>150.0</v>
      </c>
      <c r="D34" s="30">
        <v>6.0</v>
      </c>
      <c r="E34" s="124">
        <v>4.0</v>
      </c>
      <c r="F34" s="124"/>
      <c r="G34" s="124"/>
      <c r="H34" s="124">
        <v>4.0</v>
      </c>
      <c r="I34" s="33">
        <f t="shared" si="1"/>
        <v>0</v>
      </c>
      <c r="J34" s="126">
        <f t="shared" si="2"/>
        <v>0</v>
      </c>
      <c r="K34" s="127"/>
      <c r="L34" s="124"/>
      <c r="M34" s="128"/>
    </row>
    <row r="35" ht="21.0" customHeight="1">
      <c r="A35" s="17">
        <v>33.0</v>
      </c>
      <c r="B35" s="37" t="s">
        <v>46</v>
      </c>
      <c r="C35" s="38">
        <v>100.0</v>
      </c>
      <c r="D35" s="39">
        <v>12.0</v>
      </c>
      <c r="E35" s="39">
        <v>7.0</v>
      </c>
      <c r="F35" s="39"/>
      <c r="G35" s="39"/>
      <c r="H35" s="41">
        <v>6.0</v>
      </c>
      <c r="I35" s="23">
        <f t="shared" si="1"/>
        <v>1</v>
      </c>
      <c r="J35" s="24">
        <f t="shared" si="2"/>
        <v>100</v>
      </c>
      <c r="K35" s="25"/>
      <c r="L35" s="39"/>
      <c r="M35" s="42"/>
    </row>
    <row r="36" ht="21.0" customHeight="1">
      <c r="A36" s="27">
        <v>34.0</v>
      </c>
      <c r="B36" s="28" t="s">
        <v>47</v>
      </c>
      <c r="C36" s="29">
        <v>150.0</v>
      </c>
      <c r="D36" s="30">
        <v>12.0</v>
      </c>
      <c r="E36" s="124">
        <v>7.0</v>
      </c>
      <c r="F36" s="124"/>
      <c r="G36" s="124"/>
      <c r="H36" s="124">
        <v>7.0</v>
      </c>
      <c r="I36" s="33">
        <f t="shared" si="1"/>
        <v>0</v>
      </c>
      <c r="J36" s="126">
        <f t="shared" si="2"/>
        <v>0</v>
      </c>
      <c r="K36" s="127"/>
      <c r="L36" s="124"/>
      <c r="M36" s="128"/>
    </row>
    <row r="37" ht="21.0" customHeight="1">
      <c r="A37" s="17">
        <v>35.0</v>
      </c>
      <c r="B37" s="37" t="s">
        <v>48</v>
      </c>
      <c r="C37" s="38">
        <v>250.0</v>
      </c>
      <c r="D37" s="39">
        <v>10.0</v>
      </c>
      <c r="E37" s="39">
        <v>8.0</v>
      </c>
      <c r="F37" s="39"/>
      <c r="G37" s="39"/>
      <c r="H37" s="41">
        <v>5.0</v>
      </c>
      <c r="I37" s="23">
        <f t="shared" si="1"/>
        <v>3</v>
      </c>
      <c r="J37" s="24">
        <f t="shared" si="2"/>
        <v>750</v>
      </c>
      <c r="K37" s="25"/>
      <c r="L37" s="39"/>
      <c r="M37" s="42"/>
    </row>
    <row r="38" ht="21.0" customHeight="1">
      <c r="A38" s="27">
        <v>36.0</v>
      </c>
      <c r="B38" s="28" t="s">
        <v>49</v>
      </c>
      <c r="C38" s="29">
        <v>150.0</v>
      </c>
      <c r="D38" s="30">
        <v>3.0</v>
      </c>
      <c r="E38" s="124">
        <v>2.0</v>
      </c>
      <c r="F38" s="124"/>
      <c r="G38" s="124"/>
      <c r="H38" s="124">
        <v>2.0</v>
      </c>
      <c r="I38" s="33">
        <f t="shared" si="1"/>
        <v>0</v>
      </c>
      <c r="J38" s="126">
        <f t="shared" si="2"/>
        <v>0</v>
      </c>
      <c r="K38" s="127"/>
      <c r="L38" s="124"/>
      <c r="M38" s="128"/>
    </row>
    <row r="39" ht="21.0" customHeight="1">
      <c r="A39" s="17">
        <v>37.0</v>
      </c>
      <c r="B39" s="37" t="s">
        <v>50</v>
      </c>
      <c r="C39" s="38">
        <v>150.0</v>
      </c>
      <c r="D39" s="39">
        <v>3.0</v>
      </c>
      <c r="E39" s="39">
        <v>2.0</v>
      </c>
      <c r="F39" s="39"/>
      <c r="G39" s="39"/>
      <c r="H39" s="39">
        <v>2.0</v>
      </c>
      <c r="I39" s="23">
        <f t="shared" si="1"/>
        <v>0</v>
      </c>
      <c r="J39" s="24">
        <f t="shared" si="2"/>
        <v>0</v>
      </c>
      <c r="K39" s="25"/>
      <c r="L39" s="39"/>
      <c r="M39" s="42"/>
    </row>
    <row r="40" ht="21.0" customHeight="1">
      <c r="A40" s="27">
        <v>38.0</v>
      </c>
      <c r="B40" s="28" t="s">
        <v>51</v>
      </c>
      <c r="C40" s="29">
        <v>150.0</v>
      </c>
      <c r="D40" s="30">
        <v>5.0</v>
      </c>
      <c r="E40" s="124">
        <v>2.0</v>
      </c>
      <c r="F40" s="124"/>
      <c r="G40" s="124"/>
      <c r="H40" s="124">
        <v>2.0</v>
      </c>
      <c r="I40" s="33">
        <f t="shared" si="1"/>
        <v>0</v>
      </c>
      <c r="J40" s="126">
        <f t="shared" si="2"/>
        <v>0</v>
      </c>
      <c r="K40" s="127"/>
      <c r="L40" s="124"/>
      <c r="M40" s="128"/>
    </row>
    <row r="41" ht="21.0" customHeight="1">
      <c r="A41" s="17">
        <v>39.0</v>
      </c>
      <c r="B41" s="37" t="s">
        <v>52</v>
      </c>
      <c r="C41" s="38">
        <v>150.0</v>
      </c>
      <c r="D41" s="39">
        <v>6.0</v>
      </c>
      <c r="E41" s="39">
        <v>1.0</v>
      </c>
      <c r="F41" s="39"/>
      <c r="G41" s="39"/>
      <c r="H41" s="39">
        <v>1.0</v>
      </c>
      <c r="I41" s="23">
        <f t="shared" si="1"/>
        <v>0</v>
      </c>
      <c r="J41" s="24">
        <f t="shared" si="2"/>
        <v>0</v>
      </c>
      <c r="K41" s="25"/>
      <c r="L41" s="39"/>
      <c r="M41" s="42"/>
    </row>
    <row r="42" ht="21.0" customHeight="1">
      <c r="A42" s="27">
        <v>40.0</v>
      </c>
      <c r="B42" s="28" t="s">
        <v>53</v>
      </c>
      <c r="C42" s="29">
        <v>150.0</v>
      </c>
      <c r="D42" s="30">
        <v>2.0</v>
      </c>
      <c r="E42" s="124">
        <v>2.0</v>
      </c>
      <c r="F42" s="124"/>
      <c r="G42" s="124"/>
      <c r="H42" s="124">
        <v>2.0</v>
      </c>
      <c r="I42" s="33">
        <f t="shared" si="1"/>
        <v>0</v>
      </c>
      <c r="J42" s="126">
        <f t="shared" si="2"/>
        <v>0</v>
      </c>
      <c r="K42" s="127"/>
      <c r="L42" s="124"/>
      <c r="M42" s="128"/>
    </row>
    <row r="43" ht="21.0" customHeight="1">
      <c r="A43" s="17">
        <v>41.0</v>
      </c>
      <c r="B43" s="37" t="s">
        <v>54</v>
      </c>
      <c r="C43" s="38">
        <v>200.0</v>
      </c>
      <c r="D43" s="39">
        <v>10.0</v>
      </c>
      <c r="E43" s="39">
        <v>3.0</v>
      </c>
      <c r="F43" s="39"/>
      <c r="G43" s="39"/>
      <c r="H43" s="39">
        <v>3.0</v>
      </c>
      <c r="I43" s="23">
        <f t="shared" si="1"/>
        <v>0</v>
      </c>
      <c r="J43" s="24">
        <f t="shared" si="2"/>
        <v>0</v>
      </c>
      <c r="K43" s="25"/>
      <c r="L43" s="39"/>
      <c r="M43" s="42"/>
    </row>
    <row r="44" ht="21.0" customHeight="1">
      <c r="A44" s="27">
        <v>42.0</v>
      </c>
      <c r="B44" s="28" t="s">
        <v>55</v>
      </c>
      <c r="C44" s="29">
        <v>150.0</v>
      </c>
      <c r="D44" s="30">
        <v>10.0</v>
      </c>
      <c r="E44" s="124">
        <v>6.0</v>
      </c>
      <c r="F44" s="124"/>
      <c r="G44" s="124"/>
      <c r="H44" s="124">
        <v>6.0</v>
      </c>
      <c r="I44" s="33">
        <f t="shared" si="1"/>
        <v>0</v>
      </c>
      <c r="J44" s="126">
        <f t="shared" si="2"/>
        <v>0</v>
      </c>
      <c r="K44" s="127"/>
      <c r="L44" s="124"/>
      <c r="M44" s="128"/>
    </row>
    <row r="45" ht="21.0" customHeight="1">
      <c r="A45" s="17">
        <v>43.0</v>
      </c>
      <c r="B45" s="37" t="s">
        <v>56</v>
      </c>
      <c r="C45" s="38">
        <v>200.0</v>
      </c>
      <c r="D45" s="39">
        <v>4.0</v>
      </c>
      <c r="E45" s="39">
        <v>1.0</v>
      </c>
      <c r="F45" s="39"/>
      <c r="G45" s="39"/>
      <c r="H45" s="39">
        <v>1.0</v>
      </c>
      <c r="I45" s="23">
        <f t="shared" si="1"/>
        <v>0</v>
      </c>
      <c r="J45" s="24">
        <f t="shared" si="2"/>
        <v>0</v>
      </c>
      <c r="K45" s="25"/>
      <c r="L45" s="39"/>
      <c r="M45" s="42"/>
    </row>
    <row r="46" ht="21.0" customHeight="1">
      <c r="A46" s="27">
        <v>44.0</v>
      </c>
      <c r="B46" s="28" t="s">
        <v>57</v>
      </c>
      <c r="C46" s="29">
        <v>200.0</v>
      </c>
      <c r="D46" s="30">
        <v>4.0</v>
      </c>
      <c r="E46" s="124">
        <v>1.0</v>
      </c>
      <c r="F46" s="124"/>
      <c r="G46" s="124"/>
      <c r="H46" s="124">
        <v>1.0</v>
      </c>
      <c r="I46" s="33">
        <f t="shared" si="1"/>
        <v>0</v>
      </c>
      <c r="J46" s="126">
        <f t="shared" si="2"/>
        <v>0</v>
      </c>
      <c r="K46" s="127"/>
      <c r="L46" s="124"/>
      <c r="M46" s="128"/>
    </row>
    <row r="47" ht="21.0" customHeight="1">
      <c r="A47" s="17">
        <v>45.0</v>
      </c>
      <c r="B47" s="37" t="s">
        <v>58</v>
      </c>
      <c r="C47" s="38">
        <v>150.0</v>
      </c>
      <c r="D47" s="39">
        <v>7.0</v>
      </c>
      <c r="E47" s="39">
        <v>0.0</v>
      </c>
      <c r="F47" s="39"/>
      <c r="G47" s="39"/>
      <c r="H47" s="39">
        <v>0.0</v>
      </c>
      <c r="I47" s="23">
        <f t="shared" si="1"/>
        <v>0</v>
      </c>
      <c r="J47" s="24">
        <f t="shared" si="2"/>
        <v>0</v>
      </c>
      <c r="K47" s="25"/>
      <c r="L47" s="39"/>
      <c r="M47" s="42"/>
    </row>
    <row r="48" ht="21.0" customHeight="1">
      <c r="A48" s="27">
        <v>46.0</v>
      </c>
      <c r="B48" s="28" t="s">
        <v>59</v>
      </c>
      <c r="C48" s="29">
        <v>100.0</v>
      </c>
      <c r="D48" s="30">
        <v>8.0</v>
      </c>
      <c r="E48" s="124">
        <v>9.0</v>
      </c>
      <c r="F48" s="124"/>
      <c r="G48" s="124"/>
      <c r="H48" s="125">
        <v>8.0</v>
      </c>
      <c r="I48" s="33">
        <f t="shared" si="1"/>
        <v>1</v>
      </c>
      <c r="J48" s="126">
        <f t="shared" si="2"/>
        <v>100</v>
      </c>
      <c r="K48" s="127"/>
      <c r="L48" s="124"/>
      <c r="M48" s="128"/>
    </row>
    <row r="49" ht="21.0" customHeight="1">
      <c r="A49" s="17">
        <v>47.0</v>
      </c>
      <c r="B49" s="37" t="s">
        <v>60</v>
      </c>
      <c r="C49" s="38">
        <v>100.0</v>
      </c>
      <c r="D49" s="39">
        <v>8.0</v>
      </c>
      <c r="E49" s="39">
        <v>4.0</v>
      </c>
      <c r="F49" s="39"/>
      <c r="G49" s="39"/>
      <c r="H49" s="39">
        <v>4.0</v>
      </c>
      <c r="I49" s="23">
        <f t="shared" si="1"/>
        <v>0</v>
      </c>
      <c r="J49" s="24">
        <f t="shared" si="2"/>
        <v>0</v>
      </c>
      <c r="K49" s="25"/>
      <c r="L49" s="39"/>
      <c r="M49" s="42"/>
    </row>
    <row r="50" ht="21.0" customHeight="1">
      <c r="A50" s="27">
        <v>48.0</v>
      </c>
      <c r="B50" s="28" t="s">
        <v>61</v>
      </c>
      <c r="C50" s="29">
        <v>150.0</v>
      </c>
      <c r="D50" s="30">
        <v>6.0</v>
      </c>
      <c r="E50" s="124">
        <v>6.0</v>
      </c>
      <c r="F50" s="124"/>
      <c r="G50" s="124"/>
      <c r="H50" s="124">
        <v>6.0</v>
      </c>
      <c r="I50" s="33">
        <f t="shared" si="1"/>
        <v>0</v>
      </c>
      <c r="J50" s="126">
        <f t="shared" si="2"/>
        <v>0</v>
      </c>
      <c r="K50" s="127"/>
      <c r="L50" s="124"/>
      <c r="M50" s="128"/>
    </row>
    <row r="51" ht="21.0" customHeight="1">
      <c r="A51" s="17">
        <v>49.0</v>
      </c>
      <c r="B51" s="37" t="s">
        <v>62</v>
      </c>
      <c r="C51" s="38">
        <v>200.0</v>
      </c>
      <c r="D51" s="39">
        <v>10.0</v>
      </c>
      <c r="E51" s="39">
        <v>6.0</v>
      </c>
      <c r="F51" s="39"/>
      <c r="G51" s="39"/>
      <c r="H51" s="39">
        <v>6.0</v>
      </c>
      <c r="I51" s="23">
        <f t="shared" si="1"/>
        <v>0</v>
      </c>
      <c r="J51" s="24">
        <f t="shared" si="2"/>
        <v>0</v>
      </c>
      <c r="K51" s="25"/>
      <c r="L51" s="39"/>
      <c r="M51" s="42"/>
    </row>
    <row r="52" ht="21.0" customHeight="1">
      <c r="A52" s="27">
        <v>50.0</v>
      </c>
      <c r="B52" s="28" t="s">
        <v>63</v>
      </c>
      <c r="C52" s="29">
        <v>200.0</v>
      </c>
      <c r="D52" s="30">
        <v>10.0</v>
      </c>
      <c r="E52" s="124">
        <v>6.0</v>
      </c>
      <c r="F52" s="124"/>
      <c r="G52" s="124"/>
      <c r="H52" s="124">
        <v>6.0</v>
      </c>
      <c r="I52" s="33">
        <f t="shared" si="1"/>
        <v>0</v>
      </c>
      <c r="J52" s="126">
        <f t="shared" si="2"/>
        <v>0</v>
      </c>
      <c r="K52" s="127"/>
      <c r="L52" s="124"/>
      <c r="M52" s="128"/>
    </row>
    <row r="53" ht="21.0" customHeight="1">
      <c r="A53" s="17">
        <v>51.0</v>
      </c>
      <c r="B53" s="37" t="s">
        <v>64</v>
      </c>
      <c r="C53" s="38">
        <v>200.0</v>
      </c>
      <c r="D53" s="39">
        <v>15.0</v>
      </c>
      <c r="E53" s="39">
        <v>9.0</v>
      </c>
      <c r="F53" s="39"/>
      <c r="G53" s="39"/>
      <c r="H53" s="39">
        <v>9.0</v>
      </c>
      <c r="I53" s="23">
        <f t="shared" si="1"/>
        <v>0</v>
      </c>
      <c r="J53" s="24">
        <f t="shared" si="2"/>
        <v>0</v>
      </c>
      <c r="K53" s="25"/>
      <c r="L53" s="39"/>
      <c r="M53" s="42"/>
    </row>
    <row r="54" ht="21.0" customHeight="1">
      <c r="A54" s="27">
        <v>52.0</v>
      </c>
      <c r="B54" s="28" t="s">
        <v>65</v>
      </c>
      <c r="C54" s="29">
        <v>250.0</v>
      </c>
      <c r="D54" s="30">
        <v>4.0</v>
      </c>
      <c r="E54" s="124">
        <v>2.0</v>
      </c>
      <c r="F54" s="124"/>
      <c r="G54" s="124"/>
      <c r="H54" s="124">
        <v>2.0</v>
      </c>
      <c r="I54" s="33">
        <f t="shared" si="1"/>
        <v>0</v>
      </c>
      <c r="J54" s="126">
        <f t="shared" si="2"/>
        <v>0</v>
      </c>
      <c r="K54" s="127"/>
      <c r="L54" s="124"/>
      <c r="M54" s="128"/>
    </row>
    <row r="55" ht="21.0" customHeight="1">
      <c r="A55" s="17">
        <v>53.0</v>
      </c>
      <c r="B55" s="37" t="s">
        <v>66</v>
      </c>
      <c r="C55" s="38">
        <v>300.0</v>
      </c>
      <c r="D55" s="39">
        <v>2.0</v>
      </c>
      <c r="E55" s="39">
        <v>2.0</v>
      </c>
      <c r="F55" s="39"/>
      <c r="G55" s="39"/>
      <c r="H55" s="39">
        <v>2.0</v>
      </c>
      <c r="I55" s="23">
        <f t="shared" si="1"/>
        <v>0</v>
      </c>
      <c r="J55" s="24">
        <f t="shared" si="2"/>
        <v>0</v>
      </c>
      <c r="K55" s="25"/>
      <c r="L55" s="39"/>
      <c r="M55" s="42"/>
    </row>
    <row r="56" ht="21.0" customHeight="1">
      <c r="A56" s="27">
        <v>54.0</v>
      </c>
      <c r="B56" s="28" t="s">
        <v>67</v>
      </c>
      <c r="C56" s="29">
        <v>150.0</v>
      </c>
      <c r="D56" s="30">
        <v>4.0</v>
      </c>
      <c r="E56" s="124">
        <v>2.0</v>
      </c>
      <c r="F56" s="124"/>
      <c r="G56" s="124"/>
      <c r="H56" s="124">
        <v>2.0</v>
      </c>
      <c r="I56" s="33">
        <f t="shared" si="1"/>
        <v>0</v>
      </c>
      <c r="J56" s="126">
        <f t="shared" si="2"/>
        <v>0</v>
      </c>
      <c r="K56" s="127"/>
      <c r="L56" s="124"/>
      <c r="M56" s="128"/>
    </row>
    <row r="57" ht="21.0" customHeight="1">
      <c r="A57" s="17">
        <v>55.0</v>
      </c>
      <c r="B57" s="37" t="s">
        <v>68</v>
      </c>
      <c r="C57" s="38">
        <v>100.0</v>
      </c>
      <c r="D57" s="39">
        <v>2.0</v>
      </c>
      <c r="E57" s="39">
        <v>2.0</v>
      </c>
      <c r="F57" s="39"/>
      <c r="G57" s="39"/>
      <c r="H57" s="39">
        <v>2.0</v>
      </c>
      <c r="I57" s="23">
        <f t="shared" si="1"/>
        <v>0</v>
      </c>
      <c r="J57" s="24">
        <f t="shared" si="2"/>
        <v>0</v>
      </c>
      <c r="K57" s="25"/>
      <c r="L57" s="39"/>
      <c r="M57" s="42"/>
    </row>
    <row r="58" ht="21.0" customHeight="1">
      <c r="A58" s="27">
        <v>56.0</v>
      </c>
      <c r="B58" s="28" t="s">
        <v>69</v>
      </c>
      <c r="C58" s="29">
        <v>150.0</v>
      </c>
      <c r="D58" s="30">
        <v>4.0</v>
      </c>
      <c r="E58" s="124">
        <v>0.0</v>
      </c>
      <c r="F58" s="124"/>
      <c r="G58" s="124"/>
      <c r="H58" s="124">
        <v>0.0</v>
      </c>
      <c r="I58" s="33">
        <f t="shared" si="1"/>
        <v>0</v>
      </c>
      <c r="J58" s="126">
        <f t="shared" si="2"/>
        <v>0</v>
      </c>
      <c r="K58" s="127"/>
      <c r="L58" s="124"/>
      <c r="M58" s="128"/>
    </row>
    <row r="59" ht="21.0" customHeight="1">
      <c r="A59" s="17">
        <v>57.0</v>
      </c>
      <c r="B59" s="37" t="s">
        <v>70</v>
      </c>
      <c r="C59" s="38">
        <v>350.0</v>
      </c>
      <c r="D59" s="39">
        <v>2.0</v>
      </c>
      <c r="E59" s="39">
        <v>3.0</v>
      </c>
      <c r="F59" s="39"/>
      <c r="G59" s="39"/>
      <c r="H59" s="39">
        <v>3.0</v>
      </c>
      <c r="I59" s="23">
        <f t="shared" si="1"/>
        <v>0</v>
      </c>
      <c r="J59" s="24">
        <f t="shared" si="2"/>
        <v>0</v>
      </c>
      <c r="K59" s="25"/>
      <c r="L59" s="39"/>
      <c r="M59" s="42"/>
    </row>
    <row r="60" ht="21.0" customHeight="1">
      <c r="A60" s="27">
        <v>58.0</v>
      </c>
      <c r="B60" s="28" t="s">
        <v>71</v>
      </c>
      <c r="C60" s="29">
        <v>250.0</v>
      </c>
      <c r="D60" s="30">
        <v>6.0</v>
      </c>
      <c r="E60" s="124">
        <v>3.0</v>
      </c>
      <c r="F60" s="124"/>
      <c r="G60" s="124"/>
      <c r="H60" s="124">
        <v>3.0</v>
      </c>
      <c r="I60" s="33">
        <f t="shared" si="1"/>
        <v>0</v>
      </c>
      <c r="J60" s="126">
        <f t="shared" si="2"/>
        <v>0</v>
      </c>
      <c r="K60" s="127"/>
      <c r="L60" s="124"/>
      <c r="M60" s="128"/>
    </row>
    <row r="61" ht="21.0" customHeight="1">
      <c r="A61" s="17">
        <v>59.0</v>
      </c>
      <c r="B61" s="37" t="s">
        <v>72</v>
      </c>
      <c r="C61" s="38">
        <v>1400.0</v>
      </c>
      <c r="D61" s="39">
        <v>2.0</v>
      </c>
      <c r="E61" s="39">
        <v>1.0</v>
      </c>
      <c r="F61" s="39"/>
      <c r="G61" s="39"/>
      <c r="H61" s="39">
        <v>1.0</v>
      </c>
      <c r="I61" s="23">
        <f t="shared" si="1"/>
        <v>0</v>
      </c>
      <c r="J61" s="24">
        <f t="shared" si="2"/>
        <v>0</v>
      </c>
      <c r="K61" s="25"/>
      <c r="L61" s="39"/>
      <c r="M61" s="42"/>
    </row>
    <row r="62" ht="21.0" customHeight="1">
      <c r="A62" s="56">
        <v>60.0</v>
      </c>
      <c r="B62" s="57" t="s">
        <v>73</v>
      </c>
      <c r="C62" s="58">
        <v>400.0</v>
      </c>
      <c r="D62" s="30">
        <v>3.0</v>
      </c>
      <c r="E62" s="30">
        <v>2.0</v>
      </c>
      <c r="F62" s="30"/>
      <c r="G62" s="30"/>
      <c r="H62" s="30">
        <v>2.0</v>
      </c>
      <c r="I62" s="33">
        <f t="shared" si="1"/>
        <v>0</v>
      </c>
      <c r="J62" s="34">
        <f t="shared" si="2"/>
        <v>0</v>
      </c>
      <c r="K62" s="35"/>
      <c r="L62" s="30"/>
      <c r="M62" s="36"/>
    </row>
    <row r="63" ht="21.0" customHeight="1">
      <c r="A63" s="59">
        <v>61.0</v>
      </c>
      <c r="B63" s="60" t="s">
        <v>74</v>
      </c>
      <c r="C63" s="61">
        <v>500.0</v>
      </c>
      <c r="D63" s="62">
        <v>3.0</v>
      </c>
      <c r="E63" s="62">
        <v>2.0</v>
      </c>
      <c r="F63" s="62"/>
      <c r="G63" s="62"/>
      <c r="H63" s="62">
        <v>2.0</v>
      </c>
      <c r="I63" s="66">
        <f t="shared" si="1"/>
        <v>0</v>
      </c>
      <c r="J63" s="67">
        <f t="shared" si="2"/>
        <v>0</v>
      </c>
      <c r="K63" s="68"/>
      <c r="L63" s="62"/>
      <c r="M63" s="69"/>
    </row>
    <row r="64" ht="21.0" customHeight="1">
      <c r="A64" s="17">
        <v>62.0</v>
      </c>
      <c r="B64" s="37" t="s">
        <v>75</v>
      </c>
      <c r="C64" s="38">
        <v>1600.0</v>
      </c>
      <c r="D64" s="39">
        <v>1.0</v>
      </c>
      <c r="E64" s="39">
        <v>0.0</v>
      </c>
      <c r="F64" s="39"/>
      <c r="G64" s="39"/>
      <c r="H64" s="39">
        <v>0.0</v>
      </c>
      <c r="I64" s="23">
        <f t="shared" si="1"/>
        <v>0</v>
      </c>
      <c r="J64" s="24">
        <f t="shared" si="2"/>
        <v>0</v>
      </c>
      <c r="K64" s="25"/>
      <c r="L64" s="39"/>
      <c r="M64" s="42"/>
    </row>
    <row r="65" ht="21.0" customHeight="1">
      <c r="A65" s="56">
        <v>63.0</v>
      </c>
      <c r="B65" s="57" t="s">
        <v>76</v>
      </c>
      <c r="C65" s="58">
        <v>400.0</v>
      </c>
      <c r="D65" s="30">
        <v>1.0</v>
      </c>
      <c r="E65" s="30">
        <v>0.0</v>
      </c>
      <c r="F65" s="30"/>
      <c r="G65" s="30"/>
      <c r="H65" s="30">
        <v>0.0</v>
      </c>
      <c r="I65" s="33">
        <f t="shared" si="1"/>
        <v>0</v>
      </c>
      <c r="J65" s="34">
        <f t="shared" si="2"/>
        <v>0</v>
      </c>
      <c r="K65" s="35"/>
      <c r="L65" s="30"/>
      <c r="M65" s="36"/>
    </row>
    <row r="66" ht="21.0" customHeight="1">
      <c r="A66" s="17">
        <v>64.0</v>
      </c>
      <c r="B66" s="37" t="s">
        <v>77</v>
      </c>
      <c r="C66" s="38">
        <v>400.0</v>
      </c>
      <c r="D66" s="39">
        <v>3.0</v>
      </c>
      <c r="E66" s="39">
        <v>3.0</v>
      </c>
      <c r="F66" s="39"/>
      <c r="G66" s="39"/>
      <c r="H66" s="39">
        <v>3.0</v>
      </c>
      <c r="I66" s="23">
        <f t="shared" si="1"/>
        <v>0</v>
      </c>
      <c r="J66" s="24">
        <f t="shared" si="2"/>
        <v>0</v>
      </c>
      <c r="K66" s="25"/>
      <c r="L66" s="39"/>
      <c r="M66" s="42"/>
    </row>
    <row r="67" ht="21.0" customHeight="1">
      <c r="A67" s="56">
        <v>65.0</v>
      </c>
      <c r="B67" s="57" t="s">
        <v>78</v>
      </c>
      <c r="C67" s="58">
        <v>1300.0</v>
      </c>
      <c r="D67" s="30">
        <v>0.0</v>
      </c>
      <c r="E67" s="30">
        <v>0.0</v>
      </c>
      <c r="F67" s="30"/>
      <c r="G67" s="30"/>
      <c r="H67" s="30">
        <v>0.0</v>
      </c>
      <c r="I67" s="33">
        <f t="shared" si="1"/>
        <v>0</v>
      </c>
      <c r="J67" s="34">
        <f t="shared" si="2"/>
        <v>0</v>
      </c>
      <c r="K67" s="35"/>
      <c r="L67" s="30"/>
      <c r="M67" s="36"/>
    </row>
    <row r="68" ht="21.0" customHeight="1">
      <c r="A68" s="17">
        <v>66.0</v>
      </c>
      <c r="B68" s="37" t="s">
        <v>79</v>
      </c>
      <c r="C68" s="38">
        <v>250.0</v>
      </c>
      <c r="D68" s="39">
        <v>0.0</v>
      </c>
      <c r="E68" s="39">
        <v>0.0</v>
      </c>
      <c r="F68" s="39"/>
      <c r="G68" s="39"/>
      <c r="H68" s="39">
        <v>0.0</v>
      </c>
      <c r="I68" s="23">
        <f t="shared" si="1"/>
        <v>0</v>
      </c>
      <c r="J68" s="24">
        <f t="shared" si="2"/>
        <v>0</v>
      </c>
      <c r="K68" s="25"/>
      <c r="L68" s="39"/>
      <c r="M68" s="42"/>
    </row>
    <row r="69" ht="21.0" customHeight="1">
      <c r="A69" s="56">
        <v>67.0</v>
      </c>
      <c r="B69" s="57" t="s">
        <v>80</v>
      </c>
      <c r="C69" s="58">
        <v>350.0</v>
      </c>
      <c r="D69" s="30">
        <v>3.0</v>
      </c>
      <c r="E69" s="30">
        <v>3.0</v>
      </c>
      <c r="F69" s="30"/>
      <c r="G69" s="30"/>
      <c r="H69" s="30">
        <v>3.0</v>
      </c>
      <c r="I69" s="33">
        <f t="shared" si="1"/>
        <v>0</v>
      </c>
      <c r="J69" s="34">
        <f t="shared" si="2"/>
        <v>0</v>
      </c>
      <c r="K69" s="35"/>
      <c r="L69" s="30"/>
      <c r="M69" s="36"/>
    </row>
    <row r="70" ht="21.0" customHeight="1">
      <c r="A70" s="17">
        <v>68.0</v>
      </c>
      <c r="B70" s="37" t="s">
        <v>81</v>
      </c>
      <c r="C70" s="38">
        <v>400.0</v>
      </c>
      <c r="D70" s="39">
        <v>3.0</v>
      </c>
      <c r="E70" s="39">
        <v>3.0</v>
      </c>
      <c r="F70" s="39"/>
      <c r="G70" s="39"/>
      <c r="H70" s="39">
        <v>3.0</v>
      </c>
      <c r="I70" s="23">
        <f t="shared" si="1"/>
        <v>0</v>
      </c>
      <c r="J70" s="24">
        <f t="shared" si="2"/>
        <v>0</v>
      </c>
      <c r="K70" s="25"/>
      <c r="L70" s="39"/>
      <c r="M70" s="42"/>
    </row>
    <row r="71" ht="21.0" customHeight="1">
      <c r="A71" s="56">
        <v>69.0</v>
      </c>
      <c r="B71" s="57" t="s">
        <v>82</v>
      </c>
      <c r="C71" s="58">
        <v>400.0</v>
      </c>
      <c r="D71" s="30">
        <v>3.0</v>
      </c>
      <c r="E71" s="30">
        <v>3.0</v>
      </c>
      <c r="F71" s="30"/>
      <c r="G71" s="30"/>
      <c r="H71" s="30">
        <v>3.0</v>
      </c>
      <c r="I71" s="33">
        <f t="shared" si="1"/>
        <v>0</v>
      </c>
      <c r="J71" s="34">
        <f t="shared" si="2"/>
        <v>0</v>
      </c>
      <c r="K71" s="35"/>
      <c r="L71" s="30"/>
      <c r="M71" s="36"/>
    </row>
    <row r="72" ht="21.0" customHeight="1">
      <c r="A72" s="17">
        <v>70.0</v>
      </c>
      <c r="B72" s="37" t="s">
        <v>83</v>
      </c>
      <c r="C72" s="38">
        <v>450.0</v>
      </c>
      <c r="D72" s="39">
        <v>3.0</v>
      </c>
      <c r="E72" s="39">
        <v>3.0</v>
      </c>
      <c r="F72" s="39"/>
      <c r="G72" s="39"/>
      <c r="H72" s="39">
        <v>3.0</v>
      </c>
      <c r="I72" s="23">
        <f t="shared" si="1"/>
        <v>0</v>
      </c>
      <c r="J72" s="24">
        <f t="shared" si="2"/>
        <v>0</v>
      </c>
      <c r="K72" s="25"/>
      <c r="L72" s="39"/>
      <c r="M72" s="42"/>
    </row>
    <row r="73" ht="21.0" customHeight="1">
      <c r="A73" s="56">
        <v>71.0</v>
      </c>
      <c r="B73" s="57" t="s">
        <v>84</v>
      </c>
      <c r="C73" s="58">
        <v>550.0</v>
      </c>
      <c r="D73" s="30">
        <v>3.0</v>
      </c>
      <c r="E73" s="30">
        <v>3.0</v>
      </c>
      <c r="F73" s="30"/>
      <c r="G73" s="30"/>
      <c r="H73" s="30">
        <v>3.0</v>
      </c>
      <c r="I73" s="33">
        <f t="shared" si="1"/>
        <v>0</v>
      </c>
      <c r="J73" s="34">
        <f t="shared" si="2"/>
        <v>0</v>
      </c>
      <c r="K73" s="35"/>
      <c r="L73" s="30"/>
      <c r="M73" s="36"/>
    </row>
    <row r="74" ht="21.0" customHeight="1">
      <c r="A74" s="17">
        <v>72.0</v>
      </c>
      <c r="B74" s="37" t="s">
        <v>85</v>
      </c>
      <c r="C74" s="38">
        <v>1600.0</v>
      </c>
      <c r="D74" s="39">
        <v>2.0</v>
      </c>
      <c r="E74" s="39">
        <v>1.0</v>
      </c>
      <c r="F74" s="39"/>
      <c r="G74" s="39"/>
      <c r="H74" s="39">
        <v>1.0</v>
      </c>
      <c r="I74" s="23">
        <f t="shared" si="1"/>
        <v>0</v>
      </c>
      <c r="J74" s="24">
        <f t="shared" si="2"/>
        <v>0</v>
      </c>
      <c r="K74" s="25"/>
      <c r="L74" s="39"/>
      <c r="M74" s="42"/>
    </row>
    <row r="75" ht="21.0" customHeight="1">
      <c r="A75" s="56">
        <v>73.0</v>
      </c>
      <c r="B75" s="57" t="s">
        <v>86</v>
      </c>
      <c r="C75" s="58">
        <v>150.0</v>
      </c>
      <c r="D75" s="30">
        <v>4.0</v>
      </c>
      <c r="E75" s="30">
        <v>3.0</v>
      </c>
      <c r="F75" s="30"/>
      <c r="G75" s="30"/>
      <c r="H75" s="30">
        <v>3.0</v>
      </c>
      <c r="I75" s="33">
        <f t="shared" si="1"/>
        <v>0</v>
      </c>
      <c r="J75" s="34">
        <f t="shared" si="2"/>
        <v>0</v>
      </c>
      <c r="K75" s="35"/>
      <c r="L75" s="30"/>
      <c r="M75" s="36"/>
    </row>
    <row r="76" ht="21.0" customHeight="1">
      <c r="A76" s="17">
        <v>74.0</v>
      </c>
      <c r="B76" s="37" t="s">
        <v>87</v>
      </c>
      <c r="C76" s="38">
        <v>100.0</v>
      </c>
      <c r="D76" s="39">
        <v>4.0</v>
      </c>
      <c r="E76" s="39">
        <v>5.0</v>
      </c>
      <c r="F76" s="39"/>
      <c r="G76" s="39"/>
      <c r="H76" s="39">
        <v>5.0</v>
      </c>
      <c r="I76" s="23">
        <f t="shared" si="1"/>
        <v>0</v>
      </c>
      <c r="J76" s="24">
        <f t="shared" si="2"/>
        <v>0</v>
      </c>
      <c r="K76" s="25"/>
      <c r="L76" s="39"/>
      <c r="M76" s="42"/>
    </row>
    <row r="77" ht="21.0" customHeight="1">
      <c r="A77" s="56">
        <v>75.0</v>
      </c>
      <c r="B77" s="57" t="s">
        <v>88</v>
      </c>
      <c r="C77" s="58">
        <v>150.0</v>
      </c>
      <c r="D77" s="30">
        <v>1.0</v>
      </c>
      <c r="E77" s="30">
        <v>2.0</v>
      </c>
      <c r="F77" s="30"/>
      <c r="G77" s="30"/>
      <c r="H77" s="30">
        <v>2.0</v>
      </c>
      <c r="I77" s="33">
        <f t="shared" si="1"/>
        <v>0</v>
      </c>
      <c r="J77" s="34">
        <f t="shared" si="2"/>
        <v>0</v>
      </c>
      <c r="K77" s="35"/>
      <c r="L77" s="30"/>
      <c r="M77" s="36"/>
    </row>
    <row r="78" ht="21.0" customHeight="1">
      <c r="A78" s="17">
        <v>76.0</v>
      </c>
      <c r="B78" s="37" t="s">
        <v>89</v>
      </c>
      <c r="C78" s="38">
        <v>200.0</v>
      </c>
      <c r="D78" s="39">
        <v>1.0</v>
      </c>
      <c r="E78" s="39">
        <v>2.0</v>
      </c>
      <c r="F78" s="39"/>
      <c r="G78" s="39"/>
      <c r="H78" s="39">
        <v>2.0</v>
      </c>
      <c r="I78" s="23">
        <f t="shared" si="1"/>
        <v>0</v>
      </c>
      <c r="J78" s="24">
        <f t="shared" si="2"/>
        <v>0</v>
      </c>
      <c r="K78" s="25"/>
      <c r="L78" s="39"/>
      <c r="M78" s="42"/>
    </row>
    <row r="79" ht="21.0" customHeight="1">
      <c r="A79" s="56">
        <v>77.0</v>
      </c>
      <c r="B79" s="57" t="s">
        <v>90</v>
      </c>
      <c r="C79" s="58">
        <v>250.0</v>
      </c>
      <c r="D79" s="30">
        <v>1.0</v>
      </c>
      <c r="E79" s="30">
        <v>2.0</v>
      </c>
      <c r="F79" s="30"/>
      <c r="G79" s="30"/>
      <c r="H79" s="30">
        <v>2.0</v>
      </c>
      <c r="I79" s="33">
        <f t="shared" si="1"/>
        <v>0</v>
      </c>
      <c r="J79" s="34">
        <f t="shared" si="2"/>
        <v>0</v>
      </c>
      <c r="K79" s="35"/>
      <c r="L79" s="30"/>
      <c r="M79" s="36"/>
    </row>
    <row r="80" ht="21.0" customHeight="1">
      <c r="A80" s="17">
        <v>78.0</v>
      </c>
      <c r="B80" s="37" t="s">
        <v>91</v>
      </c>
      <c r="C80" s="38">
        <v>450.0</v>
      </c>
      <c r="D80" s="39">
        <v>1.0</v>
      </c>
      <c r="E80" s="39">
        <v>2.0</v>
      </c>
      <c r="F80" s="39"/>
      <c r="G80" s="39"/>
      <c r="H80" s="39">
        <v>2.0</v>
      </c>
      <c r="I80" s="23">
        <f t="shared" si="1"/>
        <v>0</v>
      </c>
      <c r="J80" s="24">
        <f t="shared" si="2"/>
        <v>0</v>
      </c>
      <c r="K80" s="25"/>
      <c r="L80" s="39"/>
      <c r="M80" s="42"/>
    </row>
    <row r="81" ht="21.0" customHeight="1">
      <c r="A81" s="56">
        <v>79.0</v>
      </c>
      <c r="B81" s="57" t="s">
        <v>92</v>
      </c>
      <c r="C81" s="58">
        <v>300.0</v>
      </c>
      <c r="D81" s="30">
        <v>4.0</v>
      </c>
      <c r="E81" s="30">
        <v>2.0</v>
      </c>
      <c r="F81" s="30"/>
      <c r="G81" s="30"/>
      <c r="H81" s="30">
        <v>2.0</v>
      </c>
      <c r="I81" s="33">
        <f t="shared" si="1"/>
        <v>0</v>
      </c>
      <c r="J81" s="34">
        <f t="shared" si="2"/>
        <v>0</v>
      </c>
      <c r="K81" s="35"/>
      <c r="L81" s="30"/>
      <c r="M81" s="36"/>
    </row>
    <row r="82" ht="21.0" customHeight="1">
      <c r="A82" s="17">
        <v>80.0</v>
      </c>
      <c r="B82" s="37" t="s">
        <v>93</v>
      </c>
      <c r="C82" s="38">
        <v>400.0</v>
      </c>
      <c r="D82" s="39">
        <v>3.0</v>
      </c>
      <c r="E82" s="39">
        <v>2.0</v>
      </c>
      <c r="F82" s="39"/>
      <c r="G82" s="39"/>
      <c r="H82" s="39">
        <v>2.0</v>
      </c>
      <c r="I82" s="23">
        <f t="shared" si="1"/>
        <v>0</v>
      </c>
      <c r="J82" s="24">
        <f t="shared" si="2"/>
        <v>0</v>
      </c>
      <c r="K82" s="25"/>
      <c r="L82" s="39"/>
      <c r="M82" s="42"/>
    </row>
    <row r="83" ht="21.0" customHeight="1">
      <c r="A83" s="56">
        <v>81.0</v>
      </c>
      <c r="B83" s="57" t="s">
        <v>94</v>
      </c>
      <c r="C83" s="58">
        <v>500.0</v>
      </c>
      <c r="D83" s="30">
        <v>1.0</v>
      </c>
      <c r="E83" s="30">
        <v>2.0</v>
      </c>
      <c r="F83" s="30"/>
      <c r="G83" s="30"/>
      <c r="H83" s="30">
        <v>2.0</v>
      </c>
      <c r="I83" s="33">
        <f t="shared" si="1"/>
        <v>0</v>
      </c>
      <c r="J83" s="34">
        <f t="shared" si="2"/>
        <v>0</v>
      </c>
      <c r="K83" s="35"/>
      <c r="L83" s="30"/>
      <c r="M83" s="36"/>
    </row>
    <row r="84" ht="21.0" customHeight="1">
      <c r="A84" s="17">
        <v>82.0</v>
      </c>
      <c r="B84" s="37" t="s">
        <v>95</v>
      </c>
      <c r="C84" s="38">
        <v>1500.0</v>
      </c>
      <c r="D84" s="39">
        <v>1.0</v>
      </c>
      <c r="E84" s="39">
        <v>0.0</v>
      </c>
      <c r="F84" s="39"/>
      <c r="G84" s="39"/>
      <c r="H84" s="39">
        <v>0.0</v>
      </c>
      <c r="I84" s="23">
        <f t="shared" si="1"/>
        <v>0</v>
      </c>
      <c r="J84" s="24">
        <f t="shared" si="2"/>
        <v>0</v>
      </c>
      <c r="K84" s="25"/>
      <c r="L84" s="39"/>
      <c r="M84" s="42"/>
    </row>
    <row r="85" ht="21.0" customHeight="1">
      <c r="A85" s="56">
        <v>83.0</v>
      </c>
      <c r="B85" s="57" t="s">
        <v>96</v>
      </c>
      <c r="C85" s="58">
        <v>300.0</v>
      </c>
      <c r="D85" s="30">
        <v>2.0</v>
      </c>
      <c r="E85" s="30">
        <v>2.0</v>
      </c>
      <c r="F85" s="30"/>
      <c r="G85" s="30"/>
      <c r="H85" s="30">
        <v>2.0</v>
      </c>
      <c r="I85" s="33">
        <f t="shared" si="1"/>
        <v>0</v>
      </c>
      <c r="J85" s="34">
        <f t="shared" si="2"/>
        <v>0</v>
      </c>
      <c r="K85" s="35"/>
      <c r="L85" s="30"/>
      <c r="M85" s="36"/>
    </row>
    <row r="86" ht="21.0" customHeight="1">
      <c r="A86" s="17">
        <v>84.0</v>
      </c>
      <c r="B86" s="37" t="s">
        <v>97</v>
      </c>
      <c r="C86" s="38">
        <v>400.0</v>
      </c>
      <c r="D86" s="39">
        <v>2.0</v>
      </c>
      <c r="E86" s="39">
        <v>0.0</v>
      </c>
      <c r="F86" s="39"/>
      <c r="G86" s="39"/>
      <c r="H86" s="39">
        <v>0.0</v>
      </c>
      <c r="I86" s="23">
        <f t="shared" si="1"/>
        <v>0</v>
      </c>
      <c r="J86" s="24">
        <f t="shared" si="2"/>
        <v>0</v>
      </c>
      <c r="K86" s="25"/>
      <c r="L86" s="39"/>
      <c r="M86" s="42"/>
    </row>
    <row r="87" ht="21.0" customHeight="1">
      <c r="A87" s="56">
        <v>85.0</v>
      </c>
      <c r="B87" s="57" t="s">
        <v>98</v>
      </c>
      <c r="C87" s="58">
        <v>500.0</v>
      </c>
      <c r="D87" s="30">
        <v>2.0</v>
      </c>
      <c r="E87" s="30">
        <v>2.0</v>
      </c>
      <c r="F87" s="30"/>
      <c r="G87" s="30"/>
      <c r="H87" s="30">
        <v>2.0</v>
      </c>
      <c r="I87" s="33">
        <f t="shared" si="1"/>
        <v>0</v>
      </c>
      <c r="J87" s="34">
        <f t="shared" si="2"/>
        <v>0</v>
      </c>
      <c r="K87" s="35"/>
      <c r="L87" s="30"/>
      <c r="M87" s="36"/>
    </row>
    <row r="88" ht="21.0" customHeight="1">
      <c r="A88" s="17">
        <v>86.0</v>
      </c>
      <c r="B88" s="37" t="s">
        <v>99</v>
      </c>
      <c r="C88" s="38">
        <v>200.0</v>
      </c>
      <c r="D88" s="39">
        <v>3.0</v>
      </c>
      <c r="E88" s="39">
        <v>5.0</v>
      </c>
      <c r="F88" s="39"/>
      <c r="G88" s="39"/>
      <c r="H88" s="39">
        <v>5.0</v>
      </c>
      <c r="I88" s="23">
        <f t="shared" si="1"/>
        <v>0</v>
      </c>
      <c r="J88" s="24">
        <f t="shared" si="2"/>
        <v>0</v>
      </c>
      <c r="K88" s="25"/>
      <c r="L88" s="39"/>
      <c r="M88" s="42"/>
    </row>
    <row r="89" ht="21.0" customHeight="1">
      <c r="A89" s="56">
        <v>87.0</v>
      </c>
      <c r="B89" s="57" t="s">
        <v>100</v>
      </c>
      <c r="C89" s="58">
        <v>200.0</v>
      </c>
      <c r="D89" s="30">
        <v>2.0</v>
      </c>
      <c r="E89" s="30">
        <v>3.0</v>
      </c>
      <c r="F89" s="30"/>
      <c r="G89" s="30"/>
      <c r="H89" s="30">
        <v>3.0</v>
      </c>
      <c r="I89" s="33">
        <f t="shared" si="1"/>
        <v>0</v>
      </c>
      <c r="J89" s="34">
        <f t="shared" si="2"/>
        <v>0</v>
      </c>
      <c r="K89" s="35"/>
      <c r="L89" s="30"/>
      <c r="M89" s="36"/>
    </row>
    <row r="90" ht="21.0" customHeight="1">
      <c r="A90" s="17">
        <v>88.0</v>
      </c>
      <c r="B90" s="37" t="s">
        <v>101</v>
      </c>
      <c r="C90" s="38">
        <v>200.0</v>
      </c>
      <c r="D90" s="39">
        <v>4.0</v>
      </c>
      <c r="E90" s="39">
        <v>0.0</v>
      </c>
      <c r="F90" s="39"/>
      <c r="G90" s="39"/>
      <c r="H90" s="39">
        <v>0.0</v>
      </c>
      <c r="I90" s="23">
        <f t="shared" si="1"/>
        <v>0</v>
      </c>
      <c r="J90" s="24">
        <f t="shared" si="2"/>
        <v>0</v>
      </c>
      <c r="K90" s="25"/>
      <c r="L90" s="39"/>
      <c r="M90" s="42"/>
    </row>
    <row r="91" ht="21.0" customHeight="1">
      <c r="A91" s="56">
        <v>89.0</v>
      </c>
      <c r="B91" s="57" t="s">
        <v>102</v>
      </c>
      <c r="C91" s="58">
        <v>200.0</v>
      </c>
      <c r="D91" s="30">
        <v>2.0</v>
      </c>
      <c r="E91" s="30">
        <v>3.0</v>
      </c>
      <c r="F91" s="30"/>
      <c r="G91" s="30"/>
      <c r="H91" s="30">
        <v>3.0</v>
      </c>
      <c r="I91" s="33">
        <f t="shared" si="1"/>
        <v>0</v>
      </c>
      <c r="J91" s="34">
        <f t="shared" si="2"/>
        <v>0</v>
      </c>
      <c r="K91" s="35"/>
      <c r="L91" s="30"/>
      <c r="M91" s="36"/>
    </row>
    <row r="92" ht="21.0" customHeight="1">
      <c r="A92" s="17">
        <v>90.0</v>
      </c>
      <c r="B92" s="37" t="s">
        <v>103</v>
      </c>
      <c r="C92" s="38">
        <v>150.0</v>
      </c>
      <c r="D92" s="39">
        <v>1.0</v>
      </c>
      <c r="E92" s="39">
        <v>1.0</v>
      </c>
      <c r="F92" s="39"/>
      <c r="G92" s="39"/>
      <c r="H92" s="39">
        <v>1.0</v>
      </c>
      <c r="I92" s="23">
        <f t="shared" si="1"/>
        <v>0</v>
      </c>
      <c r="J92" s="24">
        <f t="shared" si="2"/>
        <v>0</v>
      </c>
      <c r="K92" s="25"/>
      <c r="L92" s="39"/>
      <c r="M92" s="42"/>
    </row>
    <row r="93" ht="21.0" customHeight="1">
      <c r="A93" s="56">
        <v>91.0</v>
      </c>
      <c r="B93" s="57" t="s">
        <v>104</v>
      </c>
      <c r="C93" s="58">
        <v>100.0</v>
      </c>
      <c r="D93" s="30">
        <v>4.0</v>
      </c>
      <c r="E93" s="30">
        <v>6.0</v>
      </c>
      <c r="F93" s="30"/>
      <c r="G93" s="30"/>
      <c r="H93" s="30">
        <v>6.0</v>
      </c>
      <c r="I93" s="33">
        <f t="shared" si="1"/>
        <v>0</v>
      </c>
      <c r="J93" s="34">
        <f t="shared" si="2"/>
        <v>0</v>
      </c>
      <c r="K93" s="35"/>
      <c r="L93" s="30"/>
      <c r="M93" s="36"/>
    </row>
    <row r="94" ht="21.0" customHeight="1">
      <c r="A94" s="17">
        <v>92.0</v>
      </c>
      <c r="B94" s="37" t="s">
        <v>105</v>
      </c>
      <c r="C94" s="38">
        <v>150.0</v>
      </c>
      <c r="D94" s="39">
        <v>2.0</v>
      </c>
      <c r="E94" s="39">
        <v>3.0</v>
      </c>
      <c r="F94" s="39"/>
      <c r="G94" s="39"/>
      <c r="H94" s="39">
        <v>3.0</v>
      </c>
      <c r="I94" s="23">
        <f t="shared" si="1"/>
        <v>0</v>
      </c>
      <c r="J94" s="24">
        <f t="shared" si="2"/>
        <v>0</v>
      </c>
      <c r="K94" s="25"/>
      <c r="L94" s="39"/>
      <c r="M94" s="42"/>
    </row>
    <row r="95" ht="21.0" customHeight="1">
      <c r="A95" s="56">
        <v>93.0</v>
      </c>
      <c r="B95" s="57" t="s">
        <v>106</v>
      </c>
      <c r="C95" s="58">
        <v>200.0</v>
      </c>
      <c r="D95" s="30">
        <v>2.0</v>
      </c>
      <c r="E95" s="30">
        <v>3.0</v>
      </c>
      <c r="F95" s="30"/>
      <c r="G95" s="30"/>
      <c r="H95" s="30">
        <v>3.0</v>
      </c>
      <c r="I95" s="33">
        <f t="shared" si="1"/>
        <v>0</v>
      </c>
      <c r="J95" s="34">
        <f t="shared" si="2"/>
        <v>0</v>
      </c>
      <c r="K95" s="35"/>
      <c r="L95" s="30"/>
      <c r="M95" s="36"/>
    </row>
    <row r="96" ht="21.0" customHeight="1">
      <c r="A96" s="17">
        <v>94.0</v>
      </c>
      <c r="B96" s="37" t="s">
        <v>107</v>
      </c>
      <c r="C96" s="38">
        <v>150.0</v>
      </c>
      <c r="D96" s="39">
        <v>4.0</v>
      </c>
      <c r="E96" s="39">
        <v>6.0</v>
      </c>
      <c r="F96" s="39"/>
      <c r="G96" s="39"/>
      <c r="H96" s="39">
        <v>6.0</v>
      </c>
      <c r="I96" s="23">
        <f t="shared" si="1"/>
        <v>0</v>
      </c>
      <c r="J96" s="24">
        <f t="shared" si="2"/>
        <v>0</v>
      </c>
      <c r="K96" s="25"/>
      <c r="L96" s="39"/>
      <c r="M96" s="42"/>
    </row>
    <row r="97" ht="21.0" customHeight="1">
      <c r="A97" s="56">
        <v>95.0</v>
      </c>
      <c r="B97" s="57" t="s">
        <v>108</v>
      </c>
      <c r="C97" s="58">
        <v>200.0</v>
      </c>
      <c r="D97" s="30">
        <v>2.0</v>
      </c>
      <c r="E97" s="30">
        <v>3.0</v>
      </c>
      <c r="F97" s="30"/>
      <c r="G97" s="30"/>
      <c r="H97" s="30">
        <v>3.0</v>
      </c>
      <c r="I97" s="33">
        <f t="shared" si="1"/>
        <v>0</v>
      </c>
      <c r="J97" s="34">
        <f t="shared" si="2"/>
        <v>0</v>
      </c>
      <c r="K97" s="35"/>
      <c r="L97" s="30"/>
      <c r="M97" s="36"/>
    </row>
    <row r="98" ht="21.0" customHeight="1">
      <c r="A98" s="17">
        <v>96.0</v>
      </c>
      <c r="B98" s="37" t="s">
        <v>109</v>
      </c>
      <c r="C98" s="38">
        <v>250.0</v>
      </c>
      <c r="D98" s="39">
        <v>3.0</v>
      </c>
      <c r="E98" s="39">
        <v>1.0</v>
      </c>
      <c r="F98" s="39"/>
      <c r="G98" s="39"/>
      <c r="H98" s="39">
        <v>1.0</v>
      </c>
      <c r="I98" s="23">
        <f t="shared" si="1"/>
        <v>0</v>
      </c>
      <c r="J98" s="24">
        <f t="shared" si="2"/>
        <v>0</v>
      </c>
      <c r="K98" s="25"/>
      <c r="L98" s="39"/>
      <c r="M98" s="42"/>
    </row>
    <row r="99" ht="21.0" customHeight="1">
      <c r="A99" s="56">
        <v>97.0</v>
      </c>
      <c r="B99" s="57" t="s">
        <v>110</v>
      </c>
      <c r="C99" s="58">
        <v>300.0</v>
      </c>
      <c r="D99" s="43">
        <v>2.0</v>
      </c>
      <c r="E99" s="43">
        <v>1.0</v>
      </c>
      <c r="F99" s="43"/>
      <c r="G99" s="43"/>
      <c r="H99" s="43">
        <v>1.0</v>
      </c>
      <c r="I99" s="33">
        <f t="shared" si="1"/>
        <v>0</v>
      </c>
      <c r="J99" s="34">
        <f t="shared" si="2"/>
        <v>0</v>
      </c>
      <c r="K99" s="35"/>
      <c r="L99" s="43"/>
      <c r="M99" s="46"/>
    </row>
    <row r="100" ht="21.0" customHeight="1">
      <c r="A100" s="17">
        <v>98.0</v>
      </c>
      <c r="B100" s="37" t="s">
        <v>111</v>
      </c>
      <c r="C100" s="38">
        <v>300.0</v>
      </c>
      <c r="D100" s="47">
        <v>1.0</v>
      </c>
      <c r="E100" s="47">
        <v>1.0</v>
      </c>
      <c r="F100" s="47"/>
      <c r="G100" s="47"/>
      <c r="H100" s="47">
        <v>1.0</v>
      </c>
      <c r="I100" s="23">
        <f t="shared" si="1"/>
        <v>0</v>
      </c>
      <c r="J100" s="24">
        <f t="shared" si="2"/>
        <v>0</v>
      </c>
      <c r="K100" s="25"/>
      <c r="L100" s="47"/>
      <c r="M100" s="50"/>
    </row>
    <row r="101" ht="21.0" customHeight="1">
      <c r="A101" s="56">
        <v>99.0</v>
      </c>
      <c r="B101" s="57" t="s">
        <v>112</v>
      </c>
      <c r="C101" s="58">
        <v>150.0</v>
      </c>
      <c r="D101" s="30">
        <v>2.0</v>
      </c>
      <c r="E101" s="30">
        <v>2.0</v>
      </c>
      <c r="F101" s="30"/>
      <c r="G101" s="30"/>
      <c r="H101" s="30">
        <v>2.0</v>
      </c>
      <c r="I101" s="33">
        <f t="shared" si="1"/>
        <v>0</v>
      </c>
      <c r="J101" s="34">
        <f t="shared" si="2"/>
        <v>0</v>
      </c>
      <c r="K101" s="35"/>
      <c r="L101" s="30"/>
      <c r="M101" s="36"/>
    </row>
    <row r="102" ht="21.0" customHeight="1">
      <c r="A102" s="17">
        <v>100.0</v>
      </c>
      <c r="B102" s="37" t="s">
        <v>113</v>
      </c>
      <c r="C102" s="38">
        <v>1400.0</v>
      </c>
      <c r="D102" s="39">
        <v>1.0</v>
      </c>
      <c r="E102" s="39">
        <v>0.0</v>
      </c>
      <c r="F102" s="39"/>
      <c r="G102" s="39"/>
      <c r="H102" s="39">
        <v>0.0</v>
      </c>
      <c r="I102" s="23">
        <f t="shared" si="1"/>
        <v>0</v>
      </c>
      <c r="J102" s="24">
        <f t="shared" si="2"/>
        <v>0</v>
      </c>
      <c r="K102" s="25"/>
      <c r="L102" s="39"/>
      <c r="M102" s="42"/>
    </row>
    <row r="103" ht="21.0" customHeight="1">
      <c r="A103" s="56">
        <v>101.0</v>
      </c>
      <c r="B103" s="57" t="s">
        <v>114</v>
      </c>
      <c r="C103" s="58">
        <v>1800.0</v>
      </c>
      <c r="D103" s="30">
        <v>1.0</v>
      </c>
      <c r="E103" s="30">
        <v>1.0</v>
      </c>
      <c r="F103" s="30"/>
      <c r="G103" s="30"/>
      <c r="H103" s="30">
        <v>1.0</v>
      </c>
      <c r="I103" s="33">
        <f t="shared" si="1"/>
        <v>0</v>
      </c>
      <c r="J103" s="34">
        <f t="shared" si="2"/>
        <v>0</v>
      </c>
      <c r="K103" s="35"/>
      <c r="L103" s="30"/>
      <c r="M103" s="36"/>
    </row>
    <row r="104" ht="21.0" customHeight="1">
      <c r="A104" s="17">
        <v>102.0</v>
      </c>
      <c r="B104" s="37" t="s">
        <v>115</v>
      </c>
      <c r="C104" s="38">
        <v>200.0</v>
      </c>
      <c r="D104" s="39">
        <v>1.0</v>
      </c>
      <c r="E104" s="39">
        <v>2.0</v>
      </c>
      <c r="F104" s="39"/>
      <c r="G104" s="39"/>
      <c r="H104" s="39">
        <v>2.0</v>
      </c>
      <c r="I104" s="23">
        <f t="shared" si="1"/>
        <v>0</v>
      </c>
      <c r="J104" s="24">
        <f t="shared" si="2"/>
        <v>0</v>
      </c>
      <c r="K104" s="25"/>
      <c r="L104" s="39"/>
      <c r="M104" s="42"/>
    </row>
    <row r="105" ht="21.0" customHeight="1">
      <c r="A105" s="56">
        <v>103.0</v>
      </c>
      <c r="B105" s="71" t="s">
        <v>116</v>
      </c>
      <c r="C105" s="58">
        <v>150.0</v>
      </c>
      <c r="D105" s="30">
        <v>1.0</v>
      </c>
      <c r="E105" s="30">
        <v>0.0</v>
      </c>
      <c r="F105" s="30"/>
      <c r="G105" s="30"/>
      <c r="H105" s="30">
        <v>0.0</v>
      </c>
      <c r="I105" s="33">
        <f t="shared" si="1"/>
        <v>0</v>
      </c>
      <c r="J105" s="34">
        <f t="shared" si="2"/>
        <v>0</v>
      </c>
      <c r="K105" s="35"/>
      <c r="L105" s="30"/>
      <c r="M105" s="36"/>
    </row>
    <row r="106" ht="21.0" customHeight="1">
      <c r="A106" s="17">
        <v>104.0</v>
      </c>
      <c r="B106" s="37" t="s">
        <v>117</v>
      </c>
      <c r="C106" s="38">
        <v>150.0</v>
      </c>
      <c r="D106" s="39">
        <v>2.0</v>
      </c>
      <c r="E106" s="39">
        <v>0.0</v>
      </c>
      <c r="F106" s="39"/>
      <c r="G106" s="39"/>
      <c r="H106" s="39">
        <v>0.0</v>
      </c>
      <c r="I106" s="23">
        <f t="shared" si="1"/>
        <v>0</v>
      </c>
      <c r="J106" s="24">
        <f t="shared" si="2"/>
        <v>0</v>
      </c>
      <c r="K106" s="25"/>
      <c r="L106" s="39"/>
      <c r="M106" s="42"/>
    </row>
    <row r="107" ht="21.0" customHeight="1">
      <c r="A107" s="56">
        <v>105.0</v>
      </c>
      <c r="B107" s="57" t="s">
        <v>118</v>
      </c>
      <c r="C107" s="58">
        <v>200.0</v>
      </c>
      <c r="D107" s="30">
        <v>1.0</v>
      </c>
      <c r="E107" s="30">
        <v>1.0</v>
      </c>
      <c r="F107" s="30"/>
      <c r="G107" s="30"/>
      <c r="H107" s="30">
        <v>1.0</v>
      </c>
      <c r="I107" s="33">
        <f t="shared" si="1"/>
        <v>0</v>
      </c>
      <c r="J107" s="34">
        <f t="shared" si="2"/>
        <v>0</v>
      </c>
      <c r="K107" s="35"/>
      <c r="L107" s="30"/>
      <c r="M107" s="36"/>
    </row>
    <row r="108" ht="21.0" customHeight="1">
      <c r="A108" s="17">
        <v>106.0</v>
      </c>
      <c r="B108" s="37" t="s">
        <v>119</v>
      </c>
      <c r="C108" s="38">
        <v>400.0</v>
      </c>
      <c r="D108" s="47">
        <v>2.0</v>
      </c>
      <c r="E108" s="47">
        <v>0.0</v>
      </c>
      <c r="F108" s="47"/>
      <c r="G108" s="47"/>
      <c r="H108" s="47">
        <v>0.0</v>
      </c>
      <c r="I108" s="23">
        <f t="shared" si="1"/>
        <v>0</v>
      </c>
      <c r="J108" s="24">
        <f t="shared" si="2"/>
        <v>0</v>
      </c>
      <c r="K108" s="25"/>
      <c r="L108" s="47"/>
      <c r="M108" s="50"/>
    </row>
    <row r="109" ht="21.0" customHeight="1">
      <c r="A109" s="56">
        <v>107.0</v>
      </c>
      <c r="B109" s="57" t="s">
        <v>120</v>
      </c>
      <c r="C109" s="58">
        <v>200.0</v>
      </c>
      <c r="D109" s="43">
        <v>5.0</v>
      </c>
      <c r="E109" s="43">
        <v>0.0</v>
      </c>
      <c r="F109" s="43"/>
      <c r="G109" s="43"/>
      <c r="H109" s="43">
        <v>0.0</v>
      </c>
      <c r="I109" s="33">
        <f t="shared" si="1"/>
        <v>0</v>
      </c>
      <c r="J109" s="34">
        <f t="shared" si="2"/>
        <v>0</v>
      </c>
      <c r="K109" s="35"/>
      <c r="L109" s="43"/>
      <c r="M109" s="46"/>
    </row>
    <row r="110" ht="21.0" customHeight="1">
      <c r="A110" s="17">
        <v>108.0</v>
      </c>
      <c r="B110" s="37" t="s">
        <v>121</v>
      </c>
      <c r="C110" s="38">
        <v>350.0</v>
      </c>
      <c r="D110" s="39">
        <v>3.0</v>
      </c>
      <c r="E110" s="39">
        <v>1.0</v>
      </c>
      <c r="F110" s="39"/>
      <c r="G110" s="39"/>
      <c r="H110" s="39">
        <v>1.0</v>
      </c>
      <c r="I110" s="23">
        <f t="shared" si="1"/>
        <v>0</v>
      </c>
      <c r="J110" s="24">
        <f t="shared" si="2"/>
        <v>0</v>
      </c>
      <c r="K110" s="25"/>
      <c r="L110" s="39"/>
      <c r="M110" s="42"/>
    </row>
    <row r="111" ht="21.0" customHeight="1">
      <c r="A111" s="56">
        <v>109.0</v>
      </c>
      <c r="B111" s="57" t="s">
        <v>122</v>
      </c>
      <c r="C111" s="58">
        <v>250.0</v>
      </c>
      <c r="D111" s="30">
        <v>1.0</v>
      </c>
      <c r="E111" s="30">
        <v>0.0</v>
      </c>
      <c r="F111" s="30"/>
      <c r="G111" s="30"/>
      <c r="H111" s="30">
        <v>0.0</v>
      </c>
      <c r="I111" s="33">
        <f t="shared" si="1"/>
        <v>0</v>
      </c>
      <c r="J111" s="34">
        <f t="shared" si="2"/>
        <v>0</v>
      </c>
      <c r="K111" s="35"/>
      <c r="L111" s="30"/>
      <c r="M111" s="36"/>
    </row>
    <row r="112" ht="21.0" customHeight="1">
      <c r="A112" s="17">
        <v>110.0</v>
      </c>
      <c r="B112" s="37" t="s">
        <v>123</v>
      </c>
      <c r="C112" s="38">
        <v>550.0</v>
      </c>
      <c r="D112" s="39">
        <v>1.0</v>
      </c>
      <c r="E112" s="39">
        <v>0.0</v>
      </c>
      <c r="F112" s="39"/>
      <c r="G112" s="39"/>
      <c r="H112" s="39">
        <v>0.0</v>
      </c>
      <c r="I112" s="23">
        <f t="shared" si="1"/>
        <v>0</v>
      </c>
      <c r="J112" s="24">
        <f t="shared" si="2"/>
        <v>0</v>
      </c>
      <c r="K112" s="25"/>
      <c r="L112" s="39"/>
      <c r="M112" s="42"/>
    </row>
    <row r="113" ht="21.0" customHeight="1">
      <c r="A113" s="56">
        <v>111.0</v>
      </c>
      <c r="B113" s="57" t="s">
        <v>124</v>
      </c>
      <c r="C113" s="58">
        <v>800.0</v>
      </c>
      <c r="D113" s="30">
        <v>1.0</v>
      </c>
      <c r="E113" s="30">
        <v>2.0</v>
      </c>
      <c r="F113" s="30"/>
      <c r="G113" s="30"/>
      <c r="H113" s="30">
        <v>2.0</v>
      </c>
      <c r="I113" s="33">
        <f t="shared" si="1"/>
        <v>0</v>
      </c>
      <c r="J113" s="34">
        <f t="shared" si="2"/>
        <v>0</v>
      </c>
      <c r="K113" s="35"/>
      <c r="L113" s="30"/>
      <c r="M113" s="36"/>
    </row>
    <row r="114" ht="21.0" customHeight="1">
      <c r="A114" s="17">
        <v>112.0</v>
      </c>
      <c r="B114" s="37" t="s">
        <v>125</v>
      </c>
      <c r="C114" s="38">
        <v>2000.0</v>
      </c>
      <c r="D114" s="39">
        <v>1.0</v>
      </c>
      <c r="E114" s="39">
        <v>1.0</v>
      </c>
      <c r="F114" s="39"/>
      <c r="G114" s="39"/>
      <c r="H114" s="39">
        <v>1.0</v>
      </c>
      <c r="I114" s="23">
        <f t="shared" si="1"/>
        <v>0</v>
      </c>
      <c r="J114" s="24">
        <f t="shared" si="2"/>
        <v>0</v>
      </c>
      <c r="K114" s="25"/>
      <c r="L114" s="39"/>
      <c r="M114" s="42"/>
    </row>
    <row r="115" ht="21.0" customHeight="1">
      <c r="A115" s="56">
        <v>113.0</v>
      </c>
      <c r="B115" s="57" t="s">
        <v>126</v>
      </c>
      <c r="C115" s="58">
        <v>300.0</v>
      </c>
      <c r="D115" s="43">
        <v>1.0</v>
      </c>
      <c r="E115" s="43">
        <v>1.5</v>
      </c>
      <c r="F115" s="43"/>
      <c r="G115" s="43"/>
      <c r="H115" s="43">
        <v>1.5</v>
      </c>
      <c r="I115" s="33">
        <f t="shared" si="1"/>
        <v>0</v>
      </c>
      <c r="J115" s="34">
        <f t="shared" si="2"/>
        <v>0</v>
      </c>
      <c r="K115" s="35"/>
      <c r="L115" s="43"/>
      <c r="M115" s="46"/>
    </row>
    <row r="116" ht="21.0" customHeight="1">
      <c r="A116" s="17">
        <v>114.0</v>
      </c>
      <c r="B116" s="37" t="s">
        <v>127</v>
      </c>
      <c r="C116" s="38">
        <v>200.0</v>
      </c>
      <c r="D116" s="39">
        <v>0.0</v>
      </c>
      <c r="E116" s="39">
        <v>0.0</v>
      </c>
      <c r="F116" s="39"/>
      <c r="G116" s="39"/>
      <c r="H116" s="39">
        <v>0.0</v>
      </c>
      <c r="I116" s="23">
        <f t="shared" si="1"/>
        <v>0</v>
      </c>
      <c r="J116" s="24">
        <f t="shared" si="2"/>
        <v>0</v>
      </c>
      <c r="K116" s="25"/>
      <c r="L116" s="39"/>
      <c r="M116" s="42"/>
    </row>
    <row r="117" ht="21.0" customHeight="1">
      <c r="A117" s="56">
        <v>115.0</v>
      </c>
      <c r="B117" s="57" t="s">
        <v>128</v>
      </c>
      <c r="C117" s="58">
        <v>250.0</v>
      </c>
      <c r="D117" s="30">
        <v>0.0</v>
      </c>
      <c r="E117" s="30">
        <v>0.0</v>
      </c>
      <c r="F117" s="30"/>
      <c r="G117" s="30"/>
      <c r="H117" s="30">
        <v>0.0</v>
      </c>
      <c r="I117" s="33">
        <f t="shared" si="1"/>
        <v>0</v>
      </c>
      <c r="J117" s="34">
        <f t="shared" si="2"/>
        <v>0</v>
      </c>
      <c r="K117" s="35"/>
      <c r="L117" s="30"/>
      <c r="M117" s="36"/>
    </row>
    <row r="118" ht="21.0" customHeight="1">
      <c r="A118" s="17">
        <v>116.0</v>
      </c>
      <c r="B118" s="37" t="s">
        <v>129</v>
      </c>
      <c r="C118" s="38">
        <v>250.0</v>
      </c>
      <c r="D118" s="39">
        <v>0.0</v>
      </c>
      <c r="E118" s="39">
        <v>0.0</v>
      </c>
      <c r="F118" s="39"/>
      <c r="G118" s="39"/>
      <c r="H118" s="39">
        <v>0.0</v>
      </c>
      <c r="I118" s="23">
        <f t="shared" si="1"/>
        <v>0</v>
      </c>
      <c r="J118" s="24">
        <f t="shared" si="2"/>
        <v>0</v>
      </c>
      <c r="K118" s="25"/>
      <c r="L118" s="39"/>
      <c r="M118" s="42"/>
    </row>
    <row r="119" ht="21.0" customHeight="1">
      <c r="A119" s="56">
        <v>117.0</v>
      </c>
      <c r="B119" s="57" t="s">
        <v>130</v>
      </c>
      <c r="C119" s="58">
        <v>250.0</v>
      </c>
      <c r="D119" s="30">
        <v>1.0</v>
      </c>
      <c r="E119" s="30">
        <v>0.0</v>
      </c>
      <c r="F119" s="30"/>
      <c r="G119" s="30"/>
      <c r="H119" s="30">
        <v>0.0</v>
      </c>
      <c r="I119" s="33">
        <f t="shared" si="1"/>
        <v>0</v>
      </c>
      <c r="J119" s="34">
        <f t="shared" si="2"/>
        <v>0</v>
      </c>
      <c r="K119" s="35"/>
      <c r="L119" s="30"/>
      <c r="M119" s="36"/>
    </row>
    <row r="120" ht="21.0" customHeight="1">
      <c r="A120" s="17">
        <v>118.0</v>
      </c>
      <c r="B120" s="37" t="s">
        <v>131</v>
      </c>
      <c r="C120" s="38">
        <v>250.0</v>
      </c>
      <c r="D120" s="39">
        <v>1.0</v>
      </c>
      <c r="E120" s="39">
        <v>1.0</v>
      </c>
      <c r="F120" s="39"/>
      <c r="G120" s="39"/>
      <c r="H120" s="39">
        <v>1.0</v>
      </c>
      <c r="I120" s="23">
        <f t="shared" si="1"/>
        <v>0</v>
      </c>
      <c r="J120" s="24">
        <f t="shared" si="2"/>
        <v>0</v>
      </c>
      <c r="K120" s="25"/>
      <c r="L120" s="39"/>
      <c r="M120" s="42"/>
    </row>
    <row r="121" ht="21.0" customHeight="1">
      <c r="A121" s="56">
        <v>119.0</v>
      </c>
      <c r="B121" s="57" t="s">
        <v>132</v>
      </c>
      <c r="C121" s="58">
        <v>750.0</v>
      </c>
      <c r="D121" s="30">
        <v>1.0</v>
      </c>
      <c r="E121" s="30">
        <v>0.0</v>
      </c>
      <c r="F121" s="30"/>
      <c r="G121" s="30"/>
      <c r="H121" s="30">
        <v>0.0</v>
      </c>
      <c r="I121" s="33">
        <f t="shared" si="1"/>
        <v>0</v>
      </c>
      <c r="J121" s="34">
        <f t="shared" si="2"/>
        <v>0</v>
      </c>
      <c r="K121" s="35"/>
      <c r="L121" s="30"/>
      <c r="M121" s="36"/>
    </row>
    <row r="122" ht="21.0" customHeight="1">
      <c r="A122" s="17">
        <v>120.0</v>
      </c>
      <c r="B122" s="37" t="s">
        <v>133</v>
      </c>
      <c r="C122" s="38">
        <v>800.0</v>
      </c>
      <c r="D122" s="39">
        <v>3.0</v>
      </c>
      <c r="E122" s="39">
        <v>2.0</v>
      </c>
      <c r="F122" s="39"/>
      <c r="G122" s="39"/>
      <c r="H122" s="39">
        <v>2.0</v>
      </c>
      <c r="I122" s="23">
        <f t="shared" si="1"/>
        <v>0</v>
      </c>
      <c r="J122" s="24">
        <f t="shared" si="2"/>
        <v>0</v>
      </c>
      <c r="K122" s="25"/>
      <c r="L122" s="39"/>
      <c r="M122" s="42"/>
    </row>
    <row r="123" ht="21.0" customHeight="1">
      <c r="A123" s="56">
        <v>121.0</v>
      </c>
      <c r="B123" s="57" t="s">
        <v>134</v>
      </c>
      <c r="C123" s="58">
        <v>150.0</v>
      </c>
      <c r="D123" s="30">
        <v>2.0</v>
      </c>
      <c r="E123" s="137">
        <v>2.0</v>
      </c>
      <c r="F123" s="30"/>
      <c r="G123" s="30"/>
      <c r="H123" s="137">
        <v>2.0</v>
      </c>
      <c r="I123" s="33">
        <f t="shared" si="1"/>
        <v>0</v>
      </c>
      <c r="J123" s="34">
        <f t="shared" si="2"/>
        <v>0</v>
      </c>
      <c r="K123" s="35"/>
      <c r="L123" s="30"/>
      <c r="M123" s="36"/>
    </row>
    <row r="124" ht="21.0" customHeight="1">
      <c r="A124" s="17">
        <v>122.0</v>
      </c>
      <c r="B124" s="37" t="s">
        <v>135</v>
      </c>
      <c r="C124" s="38">
        <v>150.0</v>
      </c>
      <c r="D124" s="39">
        <v>6.0</v>
      </c>
      <c r="E124" s="39">
        <v>4.0</v>
      </c>
      <c r="F124" s="39"/>
      <c r="G124" s="72"/>
      <c r="H124" s="39">
        <v>4.0</v>
      </c>
      <c r="I124" s="23">
        <f t="shared" si="1"/>
        <v>0</v>
      </c>
      <c r="J124" s="73">
        <f t="shared" si="2"/>
        <v>0</v>
      </c>
      <c r="K124" s="25"/>
      <c r="L124" s="39"/>
      <c r="M124" s="42"/>
    </row>
    <row r="125" ht="21.0" customHeight="1">
      <c r="A125" s="141"/>
      <c r="B125" s="141"/>
      <c r="C125" s="141"/>
      <c r="D125" s="142"/>
      <c r="E125" s="142"/>
      <c r="F125" s="142"/>
      <c r="G125" s="142"/>
      <c r="H125" s="142"/>
      <c r="I125" s="143"/>
      <c r="J125" s="75">
        <f>SUM(J3:J124)</f>
        <v>3000</v>
      </c>
      <c r="K125" s="144"/>
      <c r="L125" s="144"/>
      <c r="M125" s="144"/>
    </row>
    <row r="126" ht="21.0" customHeight="1">
      <c r="A126" s="141"/>
      <c r="B126" s="141"/>
      <c r="C126" s="141"/>
      <c r="D126" s="142"/>
      <c r="E126" s="142"/>
      <c r="F126" s="142"/>
      <c r="G126" s="142"/>
      <c r="H126" s="142"/>
      <c r="I126" s="144"/>
      <c r="J126" s="145"/>
      <c r="K126" s="144"/>
      <c r="L126" s="144"/>
      <c r="M126" s="144"/>
    </row>
    <row r="127" ht="21.0" customHeight="1">
      <c r="B127" s="74"/>
      <c r="C127" s="74"/>
      <c r="J127" s="146"/>
    </row>
    <row r="128" ht="105.0" customHeight="1">
      <c r="B128" s="74"/>
      <c r="C128" s="76" t="s">
        <v>136</v>
      </c>
      <c r="D128" s="77"/>
      <c r="E128" s="78"/>
      <c r="F128" s="79" t="s">
        <v>165</v>
      </c>
      <c r="G128" s="79" t="s">
        <v>166</v>
      </c>
      <c r="H128" s="79"/>
      <c r="I128" s="79"/>
      <c r="J128" s="79"/>
      <c r="K128" s="80"/>
      <c r="L128" s="81" t="s">
        <v>138</v>
      </c>
    </row>
    <row r="129" ht="21.0" customHeight="1">
      <c r="B129" s="74"/>
      <c r="C129" s="82" t="s">
        <v>139</v>
      </c>
      <c r="D129" s="83"/>
      <c r="E129" s="84"/>
      <c r="F129" s="138">
        <v>2300.0</v>
      </c>
      <c r="G129" s="138">
        <v>1200.0</v>
      </c>
      <c r="H129" s="86"/>
      <c r="I129" s="86"/>
      <c r="J129" s="86"/>
      <c r="K129" s="87"/>
      <c r="L129" s="88">
        <f>(E129+F129+G129+H129+I129+J129+K129)-J125</f>
        <v>500</v>
      </c>
    </row>
    <row r="130" ht="21.0" customHeight="1">
      <c r="B130" s="74"/>
      <c r="C130" s="89" t="s">
        <v>140</v>
      </c>
      <c r="D130" s="90"/>
      <c r="E130" s="91"/>
      <c r="F130" s="85">
        <v>80.0</v>
      </c>
      <c r="G130" s="85">
        <v>80.0</v>
      </c>
      <c r="H130" s="93"/>
      <c r="I130" s="93"/>
      <c r="J130" s="93"/>
      <c r="K130" s="94"/>
      <c r="L130" s="95"/>
    </row>
    <row r="131" ht="21.0" customHeight="1">
      <c r="B131" s="74"/>
      <c r="C131" s="89" t="s">
        <v>141</v>
      </c>
      <c r="D131" s="90"/>
      <c r="E131" s="91"/>
      <c r="F131" s="93"/>
      <c r="G131" s="93"/>
      <c r="H131" s="93"/>
      <c r="I131" s="93"/>
      <c r="J131" s="93"/>
      <c r="K131" s="94"/>
      <c r="L131" s="95"/>
    </row>
    <row r="132" ht="21.0" customHeight="1">
      <c r="B132" s="74"/>
      <c r="C132" s="89" t="s">
        <v>142</v>
      </c>
      <c r="D132" s="90"/>
      <c r="E132" s="147" t="s">
        <v>167</v>
      </c>
      <c r="F132" s="85">
        <v>500.0</v>
      </c>
      <c r="G132" s="93"/>
      <c r="H132" s="93"/>
      <c r="I132" s="93"/>
      <c r="J132" s="93"/>
      <c r="K132" s="94"/>
      <c r="L132" s="95"/>
    </row>
    <row r="133" ht="21.0" customHeight="1">
      <c r="B133" s="74"/>
      <c r="C133" s="89" t="s">
        <v>143</v>
      </c>
      <c r="D133" s="90"/>
      <c r="E133" s="91"/>
      <c r="F133" s="93"/>
      <c r="G133" s="93"/>
      <c r="H133" s="93"/>
      <c r="I133" s="93"/>
      <c r="J133" s="93"/>
      <c r="K133" s="94"/>
      <c r="L133" s="95"/>
    </row>
    <row r="134" ht="21.0" customHeight="1">
      <c r="B134" s="74"/>
      <c r="C134" s="89" t="s">
        <v>144</v>
      </c>
      <c r="D134" s="90"/>
      <c r="E134" s="91"/>
      <c r="F134" s="93"/>
      <c r="G134" s="93"/>
      <c r="H134" s="93"/>
      <c r="I134" s="93"/>
      <c r="J134" s="93"/>
      <c r="K134" s="94"/>
      <c r="L134" s="95"/>
    </row>
    <row r="135" ht="21.0" customHeight="1">
      <c r="B135" s="74"/>
      <c r="C135" s="89" t="s">
        <v>145</v>
      </c>
      <c r="D135" s="96"/>
      <c r="E135" s="91"/>
      <c r="F135" s="93"/>
      <c r="G135" s="93"/>
      <c r="H135" s="93"/>
      <c r="I135" s="93"/>
      <c r="J135" s="93"/>
      <c r="K135" s="94"/>
      <c r="L135" s="95"/>
    </row>
    <row r="136" ht="21.0" customHeight="1">
      <c r="B136" s="74"/>
      <c r="C136" s="139" t="s">
        <v>146</v>
      </c>
      <c r="D136" s="96"/>
      <c r="E136" s="91"/>
      <c r="F136" s="85">
        <v>175.0</v>
      </c>
      <c r="G136" s="85">
        <v>100.0</v>
      </c>
      <c r="H136" s="93"/>
      <c r="I136" s="93"/>
      <c r="J136" s="93"/>
      <c r="K136" s="94"/>
      <c r="L136" s="95"/>
    </row>
    <row r="137" ht="21.0" customHeight="1">
      <c r="B137" s="74"/>
      <c r="C137" s="139" t="s">
        <v>168</v>
      </c>
      <c r="D137" s="96"/>
      <c r="E137" s="91"/>
      <c r="F137" s="93"/>
      <c r="G137" s="93"/>
      <c r="H137" s="93"/>
      <c r="I137" s="93"/>
      <c r="J137" s="93"/>
      <c r="K137" s="94"/>
      <c r="L137" s="95"/>
    </row>
    <row r="138" ht="21.0" customHeight="1">
      <c r="B138" s="74"/>
      <c r="C138" s="139" t="s">
        <v>148</v>
      </c>
      <c r="D138" s="96"/>
      <c r="E138" s="91"/>
      <c r="F138" s="93"/>
      <c r="G138" s="93"/>
      <c r="H138" s="93"/>
      <c r="I138" s="93"/>
      <c r="J138" s="93"/>
      <c r="K138" s="94"/>
      <c r="L138" s="95"/>
    </row>
    <row r="139" ht="21.0" customHeight="1">
      <c r="B139" s="74"/>
      <c r="C139" s="139" t="s">
        <v>149</v>
      </c>
      <c r="D139" s="90"/>
      <c r="E139" s="91"/>
      <c r="F139" s="93"/>
      <c r="G139" s="93"/>
      <c r="H139" s="93"/>
      <c r="I139" s="93"/>
      <c r="J139" s="93"/>
      <c r="K139" s="94"/>
      <c r="L139" s="95"/>
    </row>
    <row r="140" ht="21.0" customHeight="1">
      <c r="B140" s="74"/>
      <c r="C140" s="139" t="s">
        <v>150</v>
      </c>
      <c r="D140" s="140"/>
      <c r="E140" s="91"/>
      <c r="F140" s="93"/>
      <c r="G140" s="93"/>
      <c r="H140" s="93"/>
      <c r="I140" s="93"/>
      <c r="J140" s="93"/>
      <c r="K140" s="94"/>
      <c r="L140" s="95"/>
    </row>
    <row r="141" ht="21.0" customHeight="1">
      <c r="B141" s="74"/>
      <c r="C141" s="139"/>
      <c r="D141" s="140" t="s">
        <v>169</v>
      </c>
      <c r="E141" s="91"/>
      <c r="F141" s="93"/>
      <c r="G141" s="93"/>
      <c r="H141" s="93"/>
      <c r="I141" s="93"/>
      <c r="J141" s="93"/>
      <c r="K141" s="94"/>
      <c r="L141" s="95"/>
    </row>
    <row r="142" ht="21.0" customHeight="1">
      <c r="B142" s="74"/>
      <c r="C142" s="139"/>
      <c r="D142" s="140"/>
      <c r="E142" s="91"/>
      <c r="F142" s="93"/>
      <c r="G142" s="93"/>
      <c r="H142" s="93"/>
      <c r="I142" s="93"/>
      <c r="J142" s="93"/>
      <c r="K142" s="94"/>
      <c r="L142" s="95"/>
    </row>
    <row r="143" ht="21.0" customHeight="1">
      <c r="B143" s="74"/>
      <c r="C143" s="99" t="s">
        <v>152</v>
      </c>
      <c r="D143" s="100"/>
      <c r="E143" s="101"/>
      <c r="F143" s="102">
        <v>2045.0</v>
      </c>
      <c r="G143" s="102">
        <v>1020.0</v>
      </c>
      <c r="H143" s="103"/>
      <c r="I143" s="103"/>
      <c r="J143" s="103"/>
      <c r="K143" s="104"/>
      <c r="L143" s="95"/>
    </row>
    <row r="144" ht="21.0" customHeight="1">
      <c r="B144" s="74"/>
      <c r="C144" s="105" t="s">
        <v>153</v>
      </c>
      <c r="D144" s="83"/>
      <c r="E144" s="106"/>
      <c r="F144" s="106">
        <f t="shared" ref="F144:G144" si="3">F129-F130-F131+F133-F134-F135-F136-F137-F138-F139-F140-F141-F142</f>
        <v>2045</v>
      </c>
      <c r="G144" s="106">
        <f t="shared" si="3"/>
        <v>1020</v>
      </c>
      <c r="H144" s="106">
        <f t="shared" ref="H144:K144" si="4">H129-H130-H131+H132+H133-H134-H135-H136-H137-H138-H139-H140-H141-H142</f>
        <v>0</v>
      </c>
      <c r="I144" s="106">
        <f t="shared" si="4"/>
        <v>0</v>
      </c>
      <c r="J144" s="106">
        <f t="shared" si="4"/>
        <v>0</v>
      </c>
      <c r="K144" s="106">
        <f t="shared" si="4"/>
        <v>0</v>
      </c>
      <c r="L144" s="95"/>
    </row>
    <row r="145" ht="21.0" customHeight="1">
      <c r="B145" s="74"/>
      <c r="C145" s="107" t="s">
        <v>154</v>
      </c>
      <c r="D145" s="108"/>
      <c r="E145" s="109"/>
      <c r="F145" s="109">
        <f t="shared" ref="F145:K145" si="5">F143-F144</f>
        <v>0</v>
      </c>
      <c r="G145" s="109">
        <f t="shared" si="5"/>
        <v>0</v>
      </c>
      <c r="H145" s="109">
        <f t="shared" si="5"/>
        <v>0</v>
      </c>
      <c r="I145" s="109">
        <f t="shared" si="5"/>
        <v>0</v>
      </c>
      <c r="J145" s="109">
        <f t="shared" si="5"/>
        <v>0</v>
      </c>
      <c r="K145" s="110">
        <f t="shared" si="5"/>
        <v>0</v>
      </c>
      <c r="L145" s="111"/>
    </row>
    <row r="146" ht="21.0" customHeight="1">
      <c r="B146" s="74"/>
      <c r="C146" s="112"/>
      <c r="D146" s="113"/>
      <c r="E146" s="113"/>
      <c r="F146" s="114"/>
      <c r="G146" s="114"/>
      <c r="H146" s="115" t="s">
        <v>155</v>
      </c>
      <c r="I146" s="6"/>
      <c r="J146" s="7"/>
      <c r="K146" s="116">
        <f>E145+F145+G145+H145+I145+J145+K145</f>
        <v>0</v>
      </c>
      <c r="L146" s="111"/>
    </row>
    <row r="147" ht="21.0" customHeight="1">
      <c r="B147" s="74"/>
      <c r="C147" s="112"/>
      <c r="D147" s="113"/>
      <c r="E147" s="117"/>
      <c r="F147" s="114"/>
      <c r="G147" s="114"/>
      <c r="H147" s="118"/>
    </row>
    <row r="148" ht="26.25" customHeight="1">
      <c r="B148" s="74"/>
      <c r="C148" s="74"/>
      <c r="E148" s="119" t="s">
        <v>156</v>
      </c>
      <c r="F148" s="77"/>
      <c r="G148" s="120">
        <f>J125</f>
        <v>3000</v>
      </c>
    </row>
    <row r="149" ht="26.25" customHeight="1">
      <c r="C149" s="74"/>
      <c r="E149" s="121" t="s">
        <v>157</v>
      </c>
      <c r="F149" s="122"/>
      <c r="G149" s="120">
        <f>E143+F143+G143+H143+I143+J143+K143</f>
        <v>3065</v>
      </c>
    </row>
    <row r="150" ht="14.25" customHeight="1">
      <c r="C150" s="74"/>
    </row>
    <row r="151" ht="14.25" customHeight="1">
      <c r="C151" s="74"/>
    </row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E1"/>
    <mergeCell ref="F1:M1"/>
    <mergeCell ref="C128:D128"/>
    <mergeCell ref="C129:D129"/>
    <mergeCell ref="C130:D130"/>
    <mergeCell ref="C131:D131"/>
    <mergeCell ref="C132:D132"/>
    <mergeCell ref="C143:D143"/>
    <mergeCell ref="C144:D144"/>
    <mergeCell ref="C145:D145"/>
    <mergeCell ref="H146:J146"/>
    <mergeCell ref="E148:F148"/>
    <mergeCell ref="E149:F149"/>
    <mergeCell ref="C133:D133"/>
    <mergeCell ref="C134:D134"/>
    <mergeCell ref="C135:D135"/>
    <mergeCell ref="C136:D136"/>
    <mergeCell ref="C137:D137"/>
    <mergeCell ref="C138:D138"/>
    <mergeCell ref="C139:D13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50.57"/>
    <col customWidth="1" min="3" max="3" width="13.43"/>
    <col customWidth="1" min="4" max="4" width="14.57"/>
    <col customWidth="1" min="5" max="5" width="15.86"/>
    <col customWidth="1" min="6" max="6" width="33.86"/>
    <col customWidth="1" min="7" max="7" width="20.57"/>
    <col customWidth="1" min="8" max="8" width="22.57"/>
    <col customWidth="1" min="9" max="9" width="15.57"/>
    <col customWidth="1" min="10" max="10" width="13.86"/>
    <col customWidth="1" min="11" max="11" width="11.57"/>
    <col customWidth="1" min="12" max="12" width="17.86"/>
    <col customWidth="1" min="13" max="13" width="15.43"/>
  </cols>
  <sheetData>
    <row r="1" ht="26.25" customHeight="1">
      <c r="A1" s="1" t="s">
        <v>170</v>
      </c>
      <c r="B1" s="2"/>
      <c r="C1" s="2"/>
      <c r="D1" s="2"/>
      <c r="E1" s="3"/>
      <c r="F1" s="5"/>
      <c r="G1" s="6"/>
      <c r="H1" s="6"/>
      <c r="I1" s="6"/>
      <c r="J1" s="6"/>
      <c r="K1" s="6"/>
      <c r="L1" s="6"/>
      <c r="M1" s="7"/>
    </row>
    <row r="2" ht="72.0" customHeight="1">
      <c r="A2" s="8" t="s">
        <v>1</v>
      </c>
      <c r="B2" s="9" t="s">
        <v>2</v>
      </c>
      <c r="C2" s="10" t="s">
        <v>3</v>
      </c>
      <c r="D2" s="10" t="s">
        <v>4</v>
      </c>
      <c r="E2" s="11" t="s">
        <v>5</v>
      </c>
      <c r="F2" s="12" t="s">
        <v>6</v>
      </c>
      <c r="G2" s="12" t="s">
        <v>7</v>
      </c>
      <c r="H2" s="13" t="s">
        <v>8</v>
      </c>
      <c r="I2" s="14" t="s">
        <v>9</v>
      </c>
      <c r="J2" s="14" t="s">
        <v>10</v>
      </c>
      <c r="K2" s="14" t="s">
        <v>11</v>
      </c>
      <c r="L2" s="15" t="s">
        <v>12</v>
      </c>
      <c r="M2" s="16" t="s">
        <v>13</v>
      </c>
    </row>
    <row r="3" ht="21.0" customHeight="1">
      <c r="A3" s="17">
        <v>1.0</v>
      </c>
      <c r="B3" s="18" t="s">
        <v>14</v>
      </c>
      <c r="C3" s="19">
        <v>100.0</v>
      </c>
      <c r="D3" s="20">
        <v>40.0</v>
      </c>
      <c r="E3" s="21">
        <v>26.0</v>
      </c>
      <c r="F3" s="21">
        <v>18.0</v>
      </c>
      <c r="G3" s="20"/>
      <c r="H3" s="22">
        <v>37.0</v>
      </c>
      <c r="I3" s="23">
        <f t="shared" ref="I3:I125" si="1">E3+F3-G3-H3</f>
        <v>7</v>
      </c>
      <c r="J3" s="24">
        <f t="shared" ref="J3:J125" si="2">C3*I3</f>
        <v>700</v>
      </c>
      <c r="K3" s="25"/>
      <c r="L3" s="20"/>
      <c r="M3" s="26"/>
    </row>
    <row r="4" ht="21.0" customHeight="1">
      <c r="A4" s="27">
        <v>2.0</v>
      </c>
      <c r="B4" s="28" t="s">
        <v>15</v>
      </c>
      <c r="C4" s="29">
        <v>100.0</v>
      </c>
      <c r="D4" s="30">
        <v>40.0</v>
      </c>
      <c r="E4" s="123">
        <v>18.0</v>
      </c>
      <c r="F4" s="123">
        <v>27.0</v>
      </c>
      <c r="G4" s="124"/>
      <c r="H4" s="125">
        <v>43.0</v>
      </c>
      <c r="I4" s="33">
        <f t="shared" si="1"/>
        <v>2</v>
      </c>
      <c r="J4" s="126">
        <f t="shared" si="2"/>
        <v>200</v>
      </c>
      <c r="K4" s="127"/>
      <c r="L4" s="124"/>
      <c r="M4" s="128"/>
    </row>
    <row r="5" ht="21.0" customHeight="1">
      <c r="A5" s="17">
        <v>3.0</v>
      </c>
      <c r="B5" s="37" t="s">
        <v>16</v>
      </c>
      <c r="C5" s="38">
        <v>200.0</v>
      </c>
      <c r="D5" s="39">
        <v>20.0</v>
      </c>
      <c r="E5" s="40">
        <v>12.0</v>
      </c>
      <c r="F5" s="40">
        <v>6.0</v>
      </c>
      <c r="G5" s="39"/>
      <c r="H5" s="41">
        <v>16.0</v>
      </c>
      <c r="I5" s="23">
        <f t="shared" si="1"/>
        <v>2</v>
      </c>
      <c r="J5" s="24">
        <f t="shared" si="2"/>
        <v>400</v>
      </c>
      <c r="K5" s="25"/>
      <c r="L5" s="39"/>
      <c r="M5" s="42"/>
    </row>
    <row r="6" ht="21.0" customHeight="1">
      <c r="A6" s="27">
        <v>4.0</v>
      </c>
      <c r="B6" s="28" t="s">
        <v>17</v>
      </c>
      <c r="C6" s="29">
        <v>200.0</v>
      </c>
      <c r="D6" s="30">
        <v>20.0</v>
      </c>
      <c r="E6" s="123">
        <v>12.0</v>
      </c>
      <c r="F6" s="123">
        <v>3.0</v>
      </c>
      <c r="G6" s="124"/>
      <c r="H6" s="124">
        <v>15.0</v>
      </c>
      <c r="I6" s="33">
        <f t="shared" si="1"/>
        <v>0</v>
      </c>
      <c r="J6" s="126">
        <f t="shared" si="2"/>
        <v>0</v>
      </c>
      <c r="K6" s="127"/>
      <c r="L6" s="124"/>
      <c r="M6" s="128"/>
    </row>
    <row r="7" ht="21.0" customHeight="1">
      <c r="A7" s="17">
        <v>5.0</v>
      </c>
      <c r="B7" s="37" t="s">
        <v>18</v>
      </c>
      <c r="C7" s="38">
        <v>200.0</v>
      </c>
      <c r="D7" s="39">
        <v>20.0</v>
      </c>
      <c r="E7" s="40">
        <v>9.0</v>
      </c>
      <c r="F7" s="40">
        <v>5.0</v>
      </c>
      <c r="G7" s="39"/>
      <c r="H7" s="41">
        <v>12.0</v>
      </c>
      <c r="I7" s="23">
        <f t="shared" si="1"/>
        <v>2</v>
      </c>
      <c r="J7" s="24">
        <f t="shared" si="2"/>
        <v>400</v>
      </c>
      <c r="K7" s="25"/>
      <c r="L7" s="39"/>
      <c r="M7" s="42"/>
    </row>
    <row r="8" ht="21.0" customHeight="1">
      <c r="A8" s="27">
        <v>6.0</v>
      </c>
      <c r="B8" s="28" t="s">
        <v>19</v>
      </c>
      <c r="C8" s="29">
        <v>200.0</v>
      </c>
      <c r="D8" s="43">
        <v>15.0</v>
      </c>
      <c r="E8" s="148">
        <v>7.5</v>
      </c>
      <c r="F8" s="129">
        <v>5.5</v>
      </c>
      <c r="G8" s="130"/>
      <c r="H8" s="149">
        <v>11.0</v>
      </c>
      <c r="I8" s="33">
        <f t="shared" si="1"/>
        <v>2</v>
      </c>
      <c r="J8" s="126">
        <f t="shared" si="2"/>
        <v>400</v>
      </c>
      <c r="K8" s="127"/>
      <c r="L8" s="130"/>
      <c r="M8" s="132"/>
    </row>
    <row r="9" ht="21.0" customHeight="1">
      <c r="A9" s="17">
        <v>7.0</v>
      </c>
      <c r="B9" s="37" t="s">
        <v>20</v>
      </c>
      <c r="C9" s="38">
        <v>200.0</v>
      </c>
      <c r="D9" s="47">
        <v>12.0</v>
      </c>
      <c r="E9" s="48">
        <v>11.5</v>
      </c>
      <c r="F9" s="48">
        <v>2.5</v>
      </c>
      <c r="G9" s="47"/>
      <c r="H9" s="47">
        <v>14.0</v>
      </c>
      <c r="I9" s="23">
        <f t="shared" si="1"/>
        <v>0</v>
      </c>
      <c r="J9" s="24">
        <f t="shared" si="2"/>
        <v>0</v>
      </c>
      <c r="K9" s="25"/>
      <c r="L9" s="47"/>
      <c r="M9" s="50"/>
    </row>
    <row r="10" ht="21.0" customHeight="1">
      <c r="A10" s="27">
        <v>8.0</v>
      </c>
      <c r="B10" s="28" t="s">
        <v>21</v>
      </c>
      <c r="C10" s="29">
        <v>200.0</v>
      </c>
      <c r="D10" s="43">
        <v>8.0</v>
      </c>
      <c r="E10" s="129">
        <v>11.0</v>
      </c>
      <c r="F10" s="129">
        <v>3.0</v>
      </c>
      <c r="G10" s="130"/>
      <c r="H10" s="131">
        <v>13.5</v>
      </c>
      <c r="I10" s="33">
        <f t="shared" si="1"/>
        <v>0.5</v>
      </c>
      <c r="J10" s="126">
        <f t="shared" si="2"/>
        <v>100</v>
      </c>
      <c r="K10" s="127"/>
      <c r="L10" s="130"/>
      <c r="M10" s="132"/>
    </row>
    <row r="11" ht="21.0" customHeight="1">
      <c r="A11" s="17">
        <v>9.0</v>
      </c>
      <c r="B11" s="37" t="s">
        <v>22</v>
      </c>
      <c r="C11" s="38">
        <v>200.0</v>
      </c>
      <c r="D11" s="47">
        <v>5.0</v>
      </c>
      <c r="E11" s="48">
        <v>3.5</v>
      </c>
      <c r="F11" s="48">
        <v>1.0</v>
      </c>
      <c r="G11" s="47"/>
      <c r="H11" s="47">
        <v>4.5</v>
      </c>
      <c r="I11" s="23">
        <f t="shared" si="1"/>
        <v>0</v>
      </c>
      <c r="J11" s="24">
        <f t="shared" si="2"/>
        <v>0</v>
      </c>
      <c r="K11" s="25"/>
      <c r="L11" s="47"/>
      <c r="M11" s="50"/>
    </row>
    <row r="12" ht="21.0" customHeight="1">
      <c r="A12" s="27">
        <v>10.0</v>
      </c>
      <c r="B12" s="28" t="s">
        <v>23</v>
      </c>
      <c r="C12" s="29">
        <v>200.0</v>
      </c>
      <c r="D12" s="43">
        <v>5.0</v>
      </c>
      <c r="E12" s="129">
        <v>1.5</v>
      </c>
      <c r="F12" s="129">
        <v>0.5</v>
      </c>
      <c r="G12" s="130"/>
      <c r="H12" s="130">
        <v>2.0</v>
      </c>
      <c r="I12" s="33">
        <f t="shared" si="1"/>
        <v>0</v>
      </c>
      <c r="J12" s="126">
        <f t="shared" si="2"/>
        <v>0</v>
      </c>
      <c r="K12" s="127"/>
      <c r="L12" s="130"/>
      <c r="M12" s="132"/>
    </row>
    <row r="13" ht="21.0" customHeight="1">
      <c r="A13" s="17">
        <v>11.0</v>
      </c>
      <c r="B13" s="37" t="s">
        <v>24</v>
      </c>
      <c r="C13" s="38">
        <v>300.0</v>
      </c>
      <c r="D13" s="47">
        <v>10.0</v>
      </c>
      <c r="E13" s="48">
        <v>4.5</v>
      </c>
      <c r="F13" s="48">
        <v>2.5</v>
      </c>
      <c r="G13" s="47"/>
      <c r="H13" s="49">
        <v>6.5</v>
      </c>
      <c r="I13" s="23">
        <f t="shared" si="1"/>
        <v>0.5</v>
      </c>
      <c r="J13" s="24">
        <f t="shared" si="2"/>
        <v>150</v>
      </c>
      <c r="K13" s="25"/>
      <c r="L13" s="47"/>
      <c r="M13" s="50"/>
    </row>
    <row r="14" ht="21.0" customHeight="1">
      <c r="A14" s="27">
        <v>12.0</v>
      </c>
      <c r="B14" s="28" t="s">
        <v>25</v>
      </c>
      <c r="C14" s="29">
        <v>300.0</v>
      </c>
      <c r="D14" s="43">
        <v>2.0</v>
      </c>
      <c r="E14" s="129">
        <v>1.0</v>
      </c>
      <c r="F14" s="133"/>
      <c r="G14" s="130"/>
      <c r="H14" s="130">
        <v>1.0</v>
      </c>
      <c r="I14" s="33">
        <f t="shared" si="1"/>
        <v>0</v>
      </c>
      <c r="J14" s="126">
        <f t="shared" si="2"/>
        <v>0</v>
      </c>
      <c r="K14" s="127"/>
      <c r="L14" s="130"/>
      <c r="M14" s="132"/>
    </row>
    <row r="15" ht="21.0" customHeight="1">
      <c r="A15" s="17">
        <v>13.0</v>
      </c>
      <c r="B15" s="37" t="s">
        <v>26</v>
      </c>
      <c r="C15" s="38">
        <v>200.0</v>
      </c>
      <c r="D15" s="47">
        <v>5.0</v>
      </c>
      <c r="E15" s="48">
        <v>2.0</v>
      </c>
      <c r="F15" s="51"/>
      <c r="G15" s="47"/>
      <c r="H15" s="47">
        <v>2.0</v>
      </c>
      <c r="I15" s="23">
        <f t="shared" si="1"/>
        <v>0</v>
      </c>
      <c r="J15" s="24">
        <f t="shared" si="2"/>
        <v>0</v>
      </c>
      <c r="K15" s="25"/>
      <c r="L15" s="47"/>
      <c r="M15" s="50"/>
    </row>
    <row r="16" ht="21.0" customHeight="1">
      <c r="A16" s="27">
        <v>14.0</v>
      </c>
      <c r="B16" s="28" t="s">
        <v>27</v>
      </c>
      <c r="C16" s="29">
        <v>300.0</v>
      </c>
      <c r="D16" s="43">
        <v>1.5</v>
      </c>
      <c r="E16" s="129">
        <v>0.5</v>
      </c>
      <c r="F16" s="129">
        <v>0.5</v>
      </c>
      <c r="G16" s="130"/>
      <c r="H16" s="130">
        <v>1.0</v>
      </c>
      <c r="I16" s="33">
        <f t="shared" si="1"/>
        <v>0</v>
      </c>
      <c r="J16" s="126">
        <f t="shared" si="2"/>
        <v>0</v>
      </c>
      <c r="K16" s="127"/>
      <c r="L16" s="130"/>
      <c r="M16" s="132"/>
    </row>
    <row r="17" ht="21.0" customHeight="1">
      <c r="A17" s="17">
        <v>15.0</v>
      </c>
      <c r="B17" s="37" t="s">
        <v>28</v>
      </c>
      <c r="C17" s="38">
        <v>300.0</v>
      </c>
      <c r="D17" s="47">
        <v>1.5</v>
      </c>
      <c r="E17" s="48">
        <v>1.0</v>
      </c>
      <c r="F17" s="51"/>
      <c r="G17" s="47"/>
      <c r="H17" s="47">
        <v>1.0</v>
      </c>
      <c r="I17" s="23">
        <f t="shared" si="1"/>
        <v>0</v>
      </c>
      <c r="J17" s="24">
        <f t="shared" si="2"/>
        <v>0</v>
      </c>
      <c r="K17" s="25"/>
      <c r="L17" s="47"/>
      <c r="M17" s="50"/>
    </row>
    <row r="18" ht="21.0" customHeight="1">
      <c r="A18" s="27">
        <v>16.0</v>
      </c>
      <c r="B18" s="28" t="s">
        <v>29</v>
      </c>
      <c r="C18" s="29">
        <v>300.0</v>
      </c>
      <c r="D18" s="43">
        <v>1.5</v>
      </c>
      <c r="E18" s="129">
        <v>1.0</v>
      </c>
      <c r="F18" s="133"/>
      <c r="G18" s="130"/>
      <c r="H18" s="130">
        <v>1.0</v>
      </c>
      <c r="I18" s="33">
        <f t="shared" si="1"/>
        <v>0</v>
      </c>
      <c r="J18" s="126">
        <f t="shared" si="2"/>
        <v>0</v>
      </c>
      <c r="K18" s="127"/>
      <c r="L18" s="130"/>
      <c r="M18" s="132"/>
    </row>
    <row r="19" ht="21.0" customHeight="1">
      <c r="A19" s="17">
        <v>17.0</v>
      </c>
      <c r="B19" s="37" t="s">
        <v>30</v>
      </c>
      <c r="C19" s="38">
        <v>300.0</v>
      </c>
      <c r="D19" s="47">
        <v>1.0</v>
      </c>
      <c r="E19" s="48">
        <v>1.0</v>
      </c>
      <c r="F19" s="51"/>
      <c r="G19" s="47"/>
      <c r="H19" s="47">
        <v>1.0</v>
      </c>
      <c r="I19" s="23">
        <f t="shared" si="1"/>
        <v>0</v>
      </c>
      <c r="J19" s="24">
        <f t="shared" si="2"/>
        <v>0</v>
      </c>
      <c r="K19" s="25"/>
      <c r="L19" s="47"/>
      <c r="M19" s="50"/>
    </row>
    <row r="20" ht="21.0" customHeight="1">
      <c r="A20" s="27">
        <v>18.0</v>
      </c>
      <c r="B20" s="28" t="s">
        <v>31</v>
      </c>
      <c r="C20" s="29">
        <v>100.0</v>
      </c>
      <c r="D20" s="30">
        <v>20.0</v>
      </c>
      <c r="E20" s="123">
        <v>2.0</v>
      </c>
      <c r="F20" s="134"/>
      <c r="G20" s="124"/>
      <c r="H20" s="124">
        <v>2.0</v>
      </c>
      <c r="I20" s="33">
        <f t="shared" si="1"/>
        <v>0</v>
      </c>
      <c r="J20" s="126">
        <f t="shared" si="2"/>
        <v>0</v>
      </c>
      <c r="K20" s="127"/>
      <c r="L20" s="124"/>
      <c r="M20" s="128"/>
    </row>
    <row r="21" ht="21.0" customHeight="1">
      <c r="A21" s="17">
        <v>19.0</v>
      </c>
      <c r="B21" s="37" t="s">
        <v>32</v>
      </c>
      <c r="C21" s="38">
        <v>100.0</v>
      </c>
      <c r="D21" s="39">
        <v>20.0</v>
      </c>
      <c r="E21" s="40">
        <v>9.0</v>
      </c>
      <c r="F21" s="40">
        <v>1.0</v>
      </c>
      <c r="G21" s="39"/>
      <c r="H21" s="39">
        <v>10.0</v>
      </c>
      <c r="I21" s="23">
        <f t="shared" si="1"/>
        <v>0</v>
      </c>
      <c r="J21" s="24">
        <f t="shared" si="2"/>
        <v>0</v>
      </c>
      <c r="K21" s="25"/>
      <c r="L21" s="39"/>
      <c r="M21" s="42"/>
    </row>
    <row r="22" ht="21.0" customHeight="1">
      <c r="A22" s="27">
        <v>20.0</v>
      </c>
      <c r="B22" s="28" t="s">
        <v>33</v>
      </c>
      <c r="C22" s="29">
        <v>100.0</v>
      </c>
      <c r="D22" s="30">
        <v>20.0</v>
      </c>
      <c r="E22" s="123">
        <v>6.0</v>
      </c>
      <c r="F22" s="134"/>
      <c r="G22" s="124"/>
      <c r="H22" s="124">
        <v>6.0</v>
      </c>
      <c r="I22" s="33">
        <f t="shared" si="1"/>
        <v>0</v>
      </c>
      <c r="J22" s="126">
        <f t="shared" si="2"/>
        <v>0</v>
      </c>
      <c r="K22" s="127"/>
      <c r="L22" s="124"/>
      <c r="M22" s="128"/>
    </row>
    <row r="23" ht="21.0" customHeight="1">
      <c r="A23" s="17">
        <v>21.0</v>
      </c>
      <c r="B23" s="37" t="s">
        <v>34</v>
      </c>
      <c r="C23" s="38">
        <v>100.0</v>
      </c>
      <c r="D23" s="39">
        <v>20.0</v>
      </c>
      <c r="E23" s="40">
        <v>9.0</v>
      </c>
      <c r="F23" s="54"/>
      <c r="G23" s="39"/>
      <c r="H23" s="41">
        <v>8.0</v>
      </c>
      <c r="I23" s="23">
        <f t="shared" si="1"/>
        <v>1</v>
      </c>
      <c r="J23" s="24">
        <f t="shared" si="2"/>
        <v>100</v>
      </c>
      <c r="K23" s="25"/>
      <c r="L23" s="39"/>
      <c r="M23" s="42"/>
    </row>
    <row r="24" ht="21.0" customHeight="1">
      <c r="A24" s="27">
        <v>22.0</v>
      </c>
      <c r="B24" s="28" t="s">
        <v>35</v>
      </c>
      <c r="C24" s="29">
        <v>100.0</v>
      </c>
      <c r="D24" s="30">
        <v>15.0</v>
      </c>
      <c r="E24" s="123">
        <v>10.0</v>
      </c>
      <c r="F24" s="134"/>
      <c r="G24" s="124"/>
      <c r="H24" s="124">
        <v>10.0</v>
      </c>
      <c r="I24" s="33">
        <f t="shared" si="1"/>
        <v>0</v>
      </c>
      <c r="J24" s="126">
        <f t="shared" si="2"/>
        <v>0</v>
      </c>
      <c r="K24" s="127"/>
      <c r="L24" s="124"/>
      <c r="M24" s="128"/>
    </row>
    <row r="25" ht="21.0" customHeight="1">
      <c r="A25" s="17">
        <v>23.0</v>
      </c>
      <c r="B25" s="37" t="s">
        <v>36</v>
      </c>
      <c r="C25" s="38">
        <v>150.0</v>
      </c>
      <c r="D25" s="39">
        <v>3.0</v>
      </c>
      <c r="E25" s="40">
        <v>0.0</v>
      </c>
      <c r="F25" s="54"/>
      <c r="G25" s="39"/>
      <c r="H25" s="39">
        <v>0.0</v>
      </c>
      <c r="I25" s="23">
        <f t="shared" si="1"/>
        <v>0</v>
      </c>
      <c r="J25" s="24">
        <f t="shared" si="2"/>
        <v>0</v>
      </c>
      <c r="K25" s="25"/>
      <c r="L25" s="39"/>
      <c r="M25" s="42"/>
    </row>
    <row r="26" ht="21.0" customHeight="1">
      <c r="A26" s="27">
        <v>24.0</v>
      </c>
      <c r="B26" s="28" t="s">
        <v>37</v>
      </c>
      <c r="C26" s="29">
        <v>100.0</v>
      </c>
      <c r="D26" s="30">
        <v>15.0</v>
      </c>
      <c r="E26" s="123">
        <v>6.0</v>
      </c>
      <c r="F26" s="134"/>
      <c r="G26" s="124"/>
      <c r="H26" s="124">
        <v>6.0</v>
      </c>
      <c r="I26" s="33">
        <f t="shared" si="1"/>
        <v>0</v>
      </c>
      <c r="J26" s="126">
        <f t="shared" si="2"/>
        <v>0</v>
      </c>
      <c r="K26" s="127"/>
      <c r="L26" s="124"/>
      <c r="M26" s="128"/>
    </row>
    <row r="27" ht="21.0" customHeight="1">
      <c r="A27" s="17">
        <v>25.0</v>
      </c>
      <c r="B27" s="37" t="s">
        <v>38</v>
      </c>
      <c r="C27" s="38">
        <v>100.0</v>
      </c>
      <c r="D27" s="39">
        <v>15.0</v>
      </c>
      <c r="E27" s="40">
        <v>9.0</v>
      </c>
      <c r="F27" s="54"/>
      <c r="G27" s="39"/>
      <c r="H27" s="39">
        <v>9.0</v>
      </c>
      <c r="I27" s="23">
        <f t="shared" si="1"/>
        <v>0</v>
      </c>
      <c r="J27" s="24">
        <f t="shared" si="2"/>
        <v>0</v>
      </c>
      <c r="K27" s="25"/>
      <c r="L27" s="39"/>
      <c r="M27" s="42"/>
    </row>
    <row r="28" ht="21.0" customHeight="1">
      <c r="A28" s="27">
        <v>26.0</v>
      </c>
      <c r="B28" s="28" t="s">
        <v>39</v>
      </c>
      <c r="C28" s="29">
        <v>100.0</v>
      </c>
      <c r="D28" s="30">
        <v>15.0</v>
      </c>
      <c r="E28" s="123">
        <v>10.0</v>
      </c>
      <c r="F28" s="134"/>
      <c r="G28" s="124"/>
      <c r="H28" s="124">
        <v>10.0</v>
      </c>
      <c r="I28" s="33">
        <f t="shared" si="1"/>
        <v>0</v>
      </c>
      <c r="J28" s="126">
        <f t="shared" si="2"/>
        <v>0</v>
      </c>
      <c r="K28" s="127"/>
      <c r="L28" s="124"/>
      <c r="M28" s="128"/>
    </row>
    <row r="29" ht="21.0" customHeight="1">
      <c r="A29" s="17">
        <v>27.0</v>
      </c>
      <c r="B29" s="37" t="s">
        <v>40</v>
      </c>
      <c r="C29" s="38">
        <v>100.0</v>
      </c>
      <c r="D29" s="39">
        <v>6.0</v>
      </c>
      <c r="E29" s="40">
        <v>10.0</v>
      </c>
      <c r="F29" s="54"/>
      <c r="G29" s="39"/>
      <c r="H29" s="39">
        <v>10.0</v>
      </c>
      <c r="I29" s="23">
        <f t="shared" si="1"/>
        <v>0</v>
      </c>
      <c r="J29" s="24">
        <f t="shared" si="2"/>
        <v>0</v>
      </c>
      <c r="K29" s="25"/>
      <c r="L29" s="39"/>
      <c r="M29" s="42"/>
    </row>
    <row r="30" ht="21.0" customHeight="1">
      <c r="A30" s="27">
        <v>28.0</v>
      </c>
      <c r="B30" s="28" t="s">
        <v>41</v>
      </c>
      <c r="C30" s="29">
        <v>100.0</v>
      </c>
      <c r="D30" s="30">
        <v>8.0</v>
      </c>
      <c r="E30" s="123">
        <v>10.0</v>
      </c>
      <c r="F30" s="134"/>
      <c r="G30" s="124"/>
      <c r="H30" s="124">
        <v>10.0</v>
      </c>
      <c r="I30" s="33">
        <f t="shared" si="1"/>
        <v>0</v>
      </c>
      <c r="J30" s="126">
        <f t="shared" si="2"/>
        <v>0</v>
      </c>
      <c r="K30" s="127"/>
      <c r="L30" s="124"/>
      <c r="M30" s="128"/>
    </row>
    <row r="31" ht="21.0" customHeight="1">
      <c r="A31" s="17">
        <v>29.0</v>
      </c>
      <c r="B31" s="37" t="s">
        <v>42</v>
      </c>
      <c r="C31" s="38">
        <v>100.0</v>
      </c>
      <c r="D31" s="39">
        <v>10.0</v>
      </c>
      <c r="E31" s="40">
        <v>7.0</v>
      </c>
      <c r="F31" s="40">
        <v>1.0</v>
      </c>
      <c r="G31" s="39"/>
      <c r="H31" s="39">
        <v>8.0</v>
      </c>
      <c r="I31" s="23">
        <f t="shared" si="1"/>
        <v>0</v>
      </c>
      <c r="J31" s="24">
        <f t="shared" si="2"/>
        <v>0</v>
      </c>
      <c r="K31" s="25"/>
      <c r="L31" s="39"/>
      <c r="M31" s="42"/>
    </row>
    <row r="32" ht="21.0" customHeight="1">
      <c r="A32" s="27">
        <v>30.0</v>
      </c>
      <c r="B32" s="28" t="s">
        <v>43</v>
      </c>
      <c r="C32" s="29">
        <v>100.0</v>
      </c>
      <c r="D32" s="30">
        <v>10.0</v>
      </c>
      <c r="E32" s="123">
        <v>9.0</v>
      </c>
      <c r="F32" s="123">
        <v>1.0</v>
      </c>
      <c r="G32" s="124"/>
      <c r="H32" s="124">
        <v>10.0</v>
      </c>
      <c r="I32" s="33">
        <f t="shared" si="1"/>
        <v>0</v>
      </c>
      <c r="J32" s="126">
        <f t="shared" si="2"/>
        <v>0</v>
      </c>
      <c r="K32" s="127"/>
      <c r="L32" s="124"/>
      <c r="M32" s="128"/>
    </row>
    <row r="33" ht="21.0" customHeight="1">
      <c r="A33" s="17">
        <v>31.0</v>
      </c>
      <c r="B33" s="37" t="s">
        <v>44</v>
      </c>
      <c r="C33" s="38">
        <v>200.0</v>
      </c>
      <c r="D33" s="39">
        <v>2.0</v>
      </c>
      <c r="E33" s="40">
        <v>0.0</v>
      </c>
      <c r="F33" s="54"/>
      <c r="G33" s="39"/>
      <c r="H33" s="39">
        <v>0.0</v>
      </c>
      <c r="I33" s="23">
        <f t="shared" si="1"/>
        <v>0</v>
      </c>
      <c r="J33" s="24">
        <f t="shared" si="2"/>
        <v>0</v>
      </c>
      <c r="K33" s="25"/>
      <c r="L33" s="39"/>
      <c r="M33" s="42"/>
    </row>
    <row r="34" ht="21.0" customHeight="1">
      <c r="A34" s="27">
        <v>32.0</v>
      </c>
      <c r="B34" s="28" t="s">
        <v>45</v>
      </c>
      <c r="C34" s="29">
        <v>150.0</v>
      </c>
      <c r="D34" s="30">
        <v>6.0</v>
      </c>
      <c r="E34" s="123">
        <v>2.0</v>
      </c>
      <c r="F34" s="134"/>
      <c r="G34" s="124"/>
      <c r="H34" s="124">
        <v>2.0</v>
      </c>
      <c r="I34" s="33">
        <f t="shared" si="1"/>
        <v>0</v>
      </c>
      <c r="J34" s="126">
        <f t="shared" si="2"/>
        <v>0</v>
      </c>
      <c r="K34" s="127"/>
      <c r="L34" s="124"/>
      <c r="M34" s="128"/>
    </row>
    <row r="35" ht="21.0" customHeight="1">
      <c r="A35" s="17">
        <v>33.0</v>
      </c>
      <c r="B35" s="37" t="s">
        <v>46</v>
      </c>
      <c r="C35" s="38">
        <v>100.0</v>
      </c>
      <c r="D35" s="39">
        <v>12.0</v>
      </c>
      <c r="E35" s="40">
        <v>10.0</v>
      </c>
      <c r="F35" s="54"/>
      <c r="G35" s="39"/>
      <c r="H35" s="39">
        <v>10.0</v>
      </c>
      <c r="I35" s="23">
        <f t="shared" si="1"/>
        <v>0</v>
      </c>
      <c r="J35" s="24">
        <f t="shared" si="2"/>
        <v>0</v>
      </c>
      <c r="K35" s="25"/>
      <c r="L35" s="39"/>
      <c r="M35" s="42"/>
    </row>
    <row r="36" ht="21.0" customHeight="1">
      <c r="A36" s="27">
        <v>34.0</v>
      </c>
      <c r="B36" s="28" t="s">
        <v>47</v>
      </c>
      <c r="C36" s="29">
        <v>150.0</v>
      </c>
      <c r="D36" s="30">
        <v>12.0</v>
      </c>
      <c r="E36" s="123">
        <v>6.0</v>
      </c>
      <c r="F36" s="123">
        <v>2.0</v>
      </c>
      <c r="G36" s="124"/>
      <c r="H36" s="124">
        <v>8.0</v>
      </c>
      <c r="I36" s="33">
        <f t="shared" si="1"/>
        <v>0</v>
      </c>
      <c r="J36" s="126">
        <f t="shared" si="2"/>
        <v>0</v>
      </c>
      <c r="K36" s="127"/>
      <c r="L36" s="124"/>
      <c r="M36" s="128"/>
    </row>
    <row r="37" ht="21.0" customHeight="1">
      <c r="A37" s="17">
        <v>35.0</v>
      </c>
      <c r="B37" s="37" t="s">
        <v>48</v>
      </c>
      <c r="C37" s="38">
        <v>250.0</v>
      </c>
      <c r="D37" s="39">
        <v>10.0</v>
      </c>
      <c r="E37" s="40">
        <v>5.0</v>
      </c>
      <c r="F37" s="54"/>
      <c r="G37" s="39"/>
      <c r="H37" s="39">
        <v>5.0</v>
      </c>
      <c r="I37" s="23">
        <f t="shared" si="1"/>
        <v>0</v>
      </c>
      <c r="J37" s="24">
        <f t="shared" si="2"/>
        <v>0</v>
      </c>
      <c r="K37" s="25"/>
      <c r="L37" s="39"/>
      <c r="M37" s="42"/>
    </row>
    <row r="38" ht="21.0" customHeight="1">
      <c r="A38" s="27">
        <v>36.0</v>
      </c>
      <c r="B38" s="28" t="s">
        <v>49</v>
      </c>
      <c r="C38" s="29">
        <v>150.0</v>
      </c>
      <c r="D38" s="30">
        <v>3.0</v>
      </c>
      <c r="E38" s="123">
        <v>3.0</v>
      </c>
      <c r="F38" s="134"/>
      <c r="G38" s="124"/>
      <c r="H38" s="124">
        <v>3.0</v>
      </c>
      <c r="I38" s="33">
        <f t="shared" si="1"/>
        <v>0</v>
      </c>
      <c r="J38" s="126">
        <f t="shared" si="2"/>
        <v>0</v>
      </c>
      <c r="K38" s="127"/>
      <c r="L38" s="124"/>
      <c r="M38" s="128"/>
    </row>
    <row r="39" ht="21.0" customHeight="1">
      <c r="A39" s="17">
        <v>37.0</v>
      </c>
      <c r="B39" s="37" t="s">
        <v>50</v>
      </c>
      <c r="C39" s="38">
        <v>150.0</v>
      </c>
      <c r="D39" s="39">
        <v>3.0</v>
      </c>
      <c r="E39" s="40">
        <v>3.0</v>
      </c>
      <c r="F39" s="54"/>
      <c r="G39" s="39"/>
      <c r="H39" s="39">
        <v>3.0</v>
      </c>
      <c r="I39" s="23">
        <f t="shared" si="1"/>
        <v>0</v>
      </c>
      <c r="J39" s="24">
        <f t="shared" si="2"/>
        <v>0</v>
      </c>
      <c r="K39" s="25"/>
      <c r="L39" s="39"/>
      <c r="M39" s="42"/>
    </row>
    <row r="40" ht="21.0" customHeight="1">
      <c r="A40" s="27">
        <v>38.0</v>
      </c>
      <c r="B40" s="28" t="s">
        <v>51</v>
      </c>
      <c r="C40" s="29">
        <v>150.0</v>
      </c>
      <c r="D40" s="30">
        <v>5.0</v>
      </c>
      <c r="E40" s="123">
        <v>3.0</v>
      </c>
      <c r="F40" s="134"/>
      <c r="G40" s="124"/>
      <c r="H40" s="124">
        <v>3.0</v>
      </c>
      <c r="I40" s="33">
        <f t="shared" si="1"/>
        <v>0</v>
      </c>
      <c r="J40" s="126">
        <f t="shared" si="2"/>
        <v>0</v>
      </c>
      <c r="K40" s="127"/>
      <c r="L40" s="124"/>
      <c r="M40" s="128"/>
    </row>
    <row r="41" ht="21.0" customHeight="1">
      <c r="A41" s="17">
        <v>39.0</v>
      </c>
      <c r="B41" s="37" t="s">
        <v>52</v>
      </c>
      <c r="C41" s="38">
        <v>150.0</v>
      </c>
      <c r="D41" s="39">
        <v>6.0</v>
      </c>
      <c r="E41" s="40">
        <v>3.0</v>
      </c>
      <c r="F41" s="54"/>
      <c r="G41" s="39"/>
      <c r="H41" s="39">
        <v>3.0</v>
      </c>
      <c r="I41" s="23">
        <f t="shared" si="1"/>
        <v>0</v>
      </c>
      <c r="J41" s="24">
        <f t="shared" si="2"/>
        <v>0</v>
      </c>
      <c r="K41" s="25"/>
      <c r="L41" s="39"/>
      <c r="M41" s="42"/>
    </row>
    <row r="42" ht="21.0" customHeight="1">
      <c r="A42" s="27">
        <v>40.0</v>
      </c>
      <c r="B42" s="28" t="s">
        <v>53</v>
      </c>
      <c r="C42" s="29">
        <v>150.0</v>
      </c>
      <c r="D42" s="30">
        <v>2.0</v>
      </c>
      <c r="E42" s="123">
        <v>2.0</v>
      </c>
      <c r="F42" s="134"/>
      <c r="G42" s="124"/>
      <c r="H42" s="124">
        <v>2.0</v>
      </c>
      <c r="I42" s="33">
        <f t="shared" si="1"/>
        <v>0</v>
      </c>
      <c r="J42" s="126">
        <f t="shared" si="2"/>
        <v>0</v>
      </c>
      <c r="K42" s="127"/>
      <c r="L42" s="124"/>
      <c r="M42" s="128"/>
    </row>
    <row r="43" ht="21.0" customHeight="1">
      <c r="A43" s="17">
        <v>41.0</v>
      </c>
      <c r="B43" s="37" t="s">
        <v>54</v>
      </c>
      <c r="C43" s="38">
        <v>200.0</v>
      </c>
      <c r="D43" s="39">
        <v>10.0</v>
      </c>
      <c r="E43" s="40">
        <v>6.0</v>
      </c>
      <c r="F43" s="40">
        <v>1.0</v>
      </c>
      <c r="G43" s="39"/>
      <c r="H43" s="39">
        <v>7.0</v>
      </c>
      <c r="I43" s="23">
        <f t="shared" si="1"/>
        <v>0</v>
      </c>
      <c r="J43" s="24">
        <f t="shared" si="2"/>
        <v>0</v>
      </c>
      <c r="K43" s="25"/>
      <c r="L43" s="39"/>
      <c r="M43" s="42"/>
    </row>
    <row r="44" ht="21.0" customHeight="1">
      <c r="A44" s="27">
        <v>42.0</v>
      </c>
      <c r="B44" s="28" t="s">
        <v>55</v>
      </c>
      <c r="C44" s="29">
        <v>150.0</v>
      </c>
      <c r="D44" s="30">
        <v>10.0</v>
      </c>
      <c r="E44" s="123">
        <v>7.0</v>
      </c>
      <c r="F44" s="134"/>
      <c r="G44" s="124"/>
      <c r="H44" s="124">
        <v>7.0</v>
      </c>
      <c r="I44" s="33">
        <f t="shared" si="1"/>
        <v>0</v>
      </c>
      <c r="J44" s="126">
        <f t="shared" si="2"/>
        <v>0</v>
      </c>
      <c r="K44" s="127"/>
      <c r="L44" s="124"/>
      <c r="M44" s="128"/>
    </row>
    <row r="45" ht="21.0" customHeight="1">
      <c r="A45" s="17">
        <v>43.0</v>
      </c>
      <c r="B45" s="37" t="s">
        <v>56</v>
      </c>
      <c r="C45" s="38">
        <v>200.0</v>
      </c>
      <c r="D45" s="39">
        <v>4.0</v>
      </c>
      <c r="E45" s="40">
        <v>1.0</v>
      </c>
      <c r="F45" s="54"/>
      <c r="G45" s="39"/>
      <c r="H45" s="39">
        <v>1.0</v>
      </c>
      <c r="I45" s="23">
        <f t="shared" si="1"/>
        <v>0</v>
      </c>
      <c r="J45" s="24">
        <f t="shared" si="2"/>
        <v>0</v>
      </c>
      <c r="K45" s="25"/>
      <c r="L45" s="39"/>
      <c r="M45" s="42"/>
    </row>
    <row r="46" ht="21.0" customHeight="1">
      <c r="A46" s="27">
        <v>44.0</v>
      </c>
      <c r="B46" s="28" t="s">
        <v>57</v>
      </c>
      <c r="C46" s="29">
        <v>200.0</v>
      </c>
      <c r="D46" s="30">
        <v>4.0</v>
      </c>
      <c r="E46" s="123">
        <v>1.0</v>
      </c>
      <c r="F46" s="134"/>
      <c r="G46" s="124"/>
      <c r="H46" s="124">
        <v>1.0</v>
      </c>
      <c r="I46" s="33">
        <f t="shared" si="1"/>
        <v>0</v>
      </c>
      <c r="J46" s="126">
        <f t="shared" si="2"/>
        <v>0</v>
      </c>
      <c r="K46" s="127"/>
      <c r="L46" s="124"/>
      <c r="M46" s="128"/>
    </row>
    <row r="47" ht="21.0" customHeight="1">
      <c r="A47" s="17">
        <v>45.0</v>
      </c>
      <c r="B47" s="37" t="s">
        <v>58</v>
      </c>
      <c r="C47" s="38">
        <v>150.0</v>
      </c>
      <c r="D47" s="39">
        <v>7.0</v>
      </c>
      <c r="E47" s="40">
        <v>2.0</v>
      </c>
      <c r="F47" s="54"/>
      <c r="G47" s="39"/>
      <c r="H47" s="39">
        <v>2.0</v>
      </c>
      <c r="I47" s="23">
        <f t="shared" si="1"/>
        <v>0</v>
      </c>
      <c r="J47" s="24">
        <f t="shared" si="2"/>
        <v>0</v>
      </c>
      <c r="K47" s="25"/>
      <c r="L47" s="39"/>
      <c r="M47" s="42"/>
    </row>
    <row r="48" ht="21.0" customHeight="1">
      <c r="A48" s="27">
        <v>46.0</v>
      </c>
      <c r="B48" s="28" t="s">
        <v>59</v>
      </c>
      <c r="C48" s="29">
        <v>100.0</v>
      </c>
      <c r="D48" s="30">
        <v>8.0</v>
      </c>
      <c r="E48" s="123">
        <v>3.0</v>
      </c>
      <c r="F48" s="123">
        <v>3.0</v>
      </c>
      <c r="G48" s="124"/>
      <c r="H48" s="124">
        <v>6.0</v>
      </c>
      <c r="I48" s="33">
        <f t="shared" si="1"/>
        <v>0</v>
      </c>
      <c r="J48" s="126">
        <f t="shared" si="2"/>
        <v>0</v>
      </c>
      <c r="K48" s="127"/>
      <c r="L48" s="124"/>
      <c r="M48" s="128"/>
    </row>
    <row r="49" ht="21.0" customHeight="1">
      <c r="A49" s="17">
        <v>47.0</v>
      </c>
      <c r="B49" s="37" t="s">
        <v>60</v>
      </c>
      <c r="C49" s="38">
        <v>100.0</v>
      </c>
      <c r="D49" s="39">
        <v>8.0</v>
      </c>
      <c r="E49" s="40">
        <v>7.0</v>
      </c>
      <c r="F49" s="54"/>
      <c r="G49" s="39"/>
      <c r="H49" s="39">
        <v>7.0</v>
      </c>
      <c r="I49" s="23">
        <f t="shared" si="1"/>
        <v>0</v>
      </c>
      <c r="J49" s="24">
        <f t="shared" si="2"/>
        <v>0</v>
      </c>
      <c r="K49" s="25"/>
      <c r="L49" s="39"/>
      <c r="M49" s="42"/>
    </row>
    <row r="50" ht="21.0" customHeight="1">
      <c r="A50" s="27">
        <v>48.0</v>
      </c>
      <c r="B50" s="28" t="s">
        <v>61</v>
      </c>
      <c r="C50" s="29">
        <v>150.0</v>
      </c>
      <c r="D50" s="30">
        <v>6.0</v>
      </c>
      <c r="E50" s="123">
        <v>6.0</v>
      </c>
      <c r="F50" s="134"/>
      <c r="G50" s="124"/>
      <c r="H50" s="124">
        <v>6.0</v>
      </c>
      <c r="I50" s="33">
        <f t="shared" si="1"/>
        <v>0</v>
      </c>
      <c r="J50" s="126">
        <f t="shared" si="2"/>
        <v>0</v>
      </c>
      <c r="K50" s="127"/>
      <c r="L50" s="124"/>
      <c r="M50" s="128"/>
    </row>
    <row r="51" ht="21.0" customHeight="1">
      <c r="A51" s="17">
        <v>49.0</v>
      </c>
      <c r="B51" s="37" t="s">
        <v>62</v>
      </c>
      <c r="C51" s="38">
        <v>200.0</v>
      </c>
      <c r="D51" s="39">
        <v>10.0</v>
      </c>
      <c r="E51" s="40">
        <v>6.0</v>
      </c>
      <c r="F51" s="54"/>
      <c r="G51" s="39"/>
      <c r="H51" s="39">
        <v>6.0</v>
      </c>
      <c r="I51" s="23">
        <f t="shared" si="1"/>
        <v>0</v>
      </c>
      <c r="J51" s="24">
        <f t="shared" si="2"/>
        <v>0</v>
      </c>
      <c r="K51" s="25"/>
      <c r="L51" s="39"/>
      <c r="M51" s="42"/>
    </row>
    <row r="52" ht="21.0" customHeight="1">
      <c r="A52" s="27">
        <v>50.0</v>
      </c>
      <c r="B52" s="28" t="s">
        <v>63</v>
      </c>
      <c r="C52" s="29">
        <v>200.0</v>
      </c>
      <c r="D52" s="30">
        <v>10.0</v>
      </c>
      <c r="E52" s="123">
        <v>7.0</v>
      </c>
      <c r="F52" s="134"/>
      <c r="G52" s="124"/>
      <c r="H52" s="124">
        <v>7.0</v>
      </c>
      <c r="I52" s="33">
        <f t="shared" si="1"/>
        <v>0</v>
      </c>
      <c r="J52" s="126">
        <f t="shared" si="2"/>
        <v>0</v>
      </c>
      <c r="K52" s="127"/>
      <c r="L52" s="124"/>
      <c r="M52" s="128"/>
    </row>
    <row r="53" ht="21.0" customHeight="1">
      <c r="A53" s="17">
        <v>51.0</v>
      </c>
      <c r="B53" s="37" t="s">
        <v>64</v>
      </c>
      <c r="C53" s="38">
        <v>200.0</v>
      </c>
      <c r="D53" s="39">
        <v>15.0</v>
      </c>
      <c r="E53" s="40">
        <v>10.0</v>
      </c>
      <c r="F53" s="40">
        <v>2.0</v>
      </c>
      <c r="G53" s="39"/>
      <c r="H53" s="39">
        <v>12.0</v>
      </c>
      <c r="I53" s="23">
        <f t="shared" si="1"/>
        <v>0</v>
      </c>
      <c r="J53" s="24">
        <f t="shared" si="2"/>
        <v>0</v>
      </c>
      <c r="K53" s="25"/>
      <c r="L53" s="39"/>
      <c r="M53" s="42"/>
    </row>
    <row r="54" ht="21.0" customHeight="1">
      <c r="A54" s="27">
        <v>52.0</v>
      </c>
      <c r="B54" s="28" t="s">
        <v>65</v>
      </c>
      <c r="C54" s="29">
        <v>250.0</v>
      </c>
      <c r="D54" s="30">
        <v>4.0</v>
      </c>
      <c r="E54" s="123">
        <v>3.0</v>
      </c>
      <c r="F54" s="134"/>
      <c r="G54" s="124"/>
      <c r="H54" s="124">
        <v>3.0</v>
      </c>
      <c r="I54" s="33">
        <f t="shared" si="1"/>
        <v>0</v>
      </c>
      <c r="J54" s="126">
        <f t="shared" si="2"/>
        <v>0</v>
      </c>
      <c r="K54" s="127"/>
      <c r="L54" s="124"/>
      <c r="M54" s="128"/>
    </row>
    <row r="55" ht="21.0" customHeight="1">
      <c r="A55" s="17">
        <v>53.0</v>
      </c>
      <c r="B55" s="37" t="s">
        <v>66</v>
      </c>
      <c r="C55" s="38">
        <v>300.0</v>
      </c>
      <c r="D55" s="39">
        <v>2.0</v>
      </c>
      <c r="E55" s="40">
        <v>2.0</v>
      </c>
      <c r="F55" s="54"/>
      <c r="G55" s="39"/>
      <c r="H55" s="39">
        <v>2.0</v>
      </c>
      <c r="I55" s="23">
        <f t="shared" si="1"/>
        <v>0</v>
      </c>
      <c r="J55" s="24">
        <f t="shared" si="2"/>
        <v>0</v>
      </c>
      <c r="K55" s="25"/>
      <c r="L55" s="39"/>
      <c r="M55" s="42"/>
    </row>
    <row r="56" ht="21.0" customHeight="1">
      <c r="A56" s="27">
        <v>54.0</v>
      </c>
      <c r="B56" s="28" t="s">
        <v>67</v>
      </c>
      <c r="C56" s="29">
        <v>150.0</v>
      </c>
      <c r="D56" s="30">
        <v>4.0</v>
      </c>
      <c r="E56" s="123">
        <v>3.0</v>
      </c>
      <c r="F56" s="134"/>
      <c r="G56" s="124"/>
      <c r="H56" s="124">
        <v>3.0</v>
      </c>
      <c r="I56" s="33">
        <f t="shared" si="1"/>
        <v>0</v>
      </c>
      <c r="J56" s="126">
        <f t="shared" si="2"/>
        <v>0</v>
      </c>
      <c r="K56" s="127"/>
      <c r="L56" s="124"/>
      <c r="M56" s="128"/>
    </row>
    <row r="57" ht="21.0" customHeight="1">
      <c r="A57" s="17">
        <v>55.0</v>
      </c>
      <c r="B57" s="37" t="s">
        <v>68</v>
      </c>
      <c r="C57" s="38">
        <v>100.0</v>
      </c>
      <c r="D57" s="39">
        <v>2.0</v>
      </c>
      <c r="E57" s="40">
        <v>5.0</v>
      </c>
      <c r="F57" s="54"/>
      <c r="G57" s="39"/>
      <c r="H57" s="39">
        <v>5.0</v>
      </c>
      <c r="I57" s="23">
        <f t="shared" si="1"/>
        <v>0</v>
      </c>
      <c r="J57" s="24">
        <f t="shared" si="2"/>
        <v>0</v>
      </c>
      <c r="K57" s="25"/>
      <c r="L57" s="39"/>
      <c r="M57" s="42"/>
    </row>
    <row r="58" ht="21.0" customHeight="1">
      <c r="A58" s="27">
        <v>56.0</v>
      </c>
      <c r="B58" s="28" t="s">
        <v>69</v>
      </c>
      <c r="C58" s="29">
        <v>150.0</v>
      </c>
      <c r="D58" s="30">
        <v>4.0</v>
      </c>
      <c r="E58" s="123">
        <v>3.0</v>
      </c>
      <c r="F58" s="134"/>
      <c r="G58" s="124"/>
      <c r="H58" s="124">
        <v>3.0</v>
      </c>
      <c r="I58" s="33">
        <f t="shared" si="1"/>
        <v>0</v>
      </c>
      <c r="J58" s="126">
        <f t="shared" si="2"/>
        <v>0</v>
      </c>
      <c r="K58" s="127"/>
      <c r="L58" s="124"/>
      <c r="M58" s="128"/>
    </row>
    <row r="59" ht="21.0" customHeight="1">
      <c r="A59" s="17">
        <v>57.0</v>
      </c>
      <c r="B59" s="37" t="s">
        <v>70</v>
      </c>
      <c r="C59" s="38">
        <v>350.0</v>
      </c>
      <c r="D59" s="39">
        <v>2.0</v>
      </c>
      <c r="E59" s="40">
        <v>9.0</v>
      </c>
      <c r="F59" s="40">
        <v>1.0</v>
      </c>
      <c r="G59" s="39"/>
      <c r="H59" s="39">
        <v>10.0</v>
      </c>
      <c r="I59" s="23">
        <f t="shared" si="1"/>
        <v>0</v>
      </c>
      <c r="J59" s="24">
        <f t="shared" si="2"/>
        <v>0</v>
      </c>
      <c r="K59" s="25"/>
      <c r="L59" s="39"/>
      <c r="M59" s="42"/>
    </row>
    <row r="60" ht="21.0" customHeight="1">
      <c r="A60" s="27">
        <v>58.0</v>
      </c>
      <c r="B60" s="28" t="s">
        <v>71</v>
      </c>
      <c r="C60" s="29">
        <v>250.0</v>
      </c>
      <c r="D60" s="30">
        <v>6.0</v>
      </c>
      <c r="E60" s="123">
        <v>10.0</v>
      </c>
      <c r="F60" s="134"/>
      <c r="G60" s="124"/>
      <c r="H60" s="124">
        <v>10.0</v>
      </c>
      <c r="I60" s="33">
        <f t="shared" si="1"/>
        <v>0</v>
      </c>
      <c r="J60" s="126">
        <f t="shared" si="2"/>
        <v>0</v>
      </c>
      <c r="K60" s="127"/>
      <c r="L60" s="124"/>
      <c r="M60" s="128"/>
    </row>
    <row r="61" ht="21.0" customHeight="1">
      <c r="A61" s="17">
        <v>59.0</v>
      </c>
      <c r="B61" s="37" t="s">
        <v>72</v>
      </c>
      <c r="C61" s="38">
        <v>1400.0</v>
      </c>
      <c r="D61" s="39">
        <v>2.0</v>
      </c>
      <c r="E61" s="40">
        <v>0.0</v>
      </c>
      <c r="F61" s="54"/>
      <c r="G61" s="39"/>
      <c r="H61" s="39">
        <v>0.0</v>
      </c>
      <c r="I61" s="23">
        <f t="shared" si="1"/>
        <v>0</v>
      </c>
      <c r="J61" s="24">
        <f t="shared" si="2"/>
        <v>0</v>
      </c>
      <c r="K61" s="25"/>
      <c r="L61" s="39"/>
      <c r="M61" s="42"/>
    </row>
    <row r="62" ht="21.0" customHeight="1">
      <c r="A62" s="56">
        <v>60.0</v>
      </c>
      <c r="B62" s="57" t="s">
        <v>73</v>
      </c>
      <c r="C62" s="58">
        <v>400.0</v>
      </c>
      <c r="D62" s="30">
        <v>3.0</v>
      </c>
      <c r="E62" s="31">
        <v>2.0</v>
      </c>
      <c r="F62" s="55"/>
      <c r="G62" s="30"/>
      <c r="H62" s="30">
        <v>2.0</v>
      </c>
      <c r="I62" s="33">
        <f t="shared" si="1"/>
        <v>0</v>
      </c>
      <c r="J62" s="34">
        <f t="shared" si="2"/>
        <v>0</v>
      </c>
      <c r="K62" s="35"/>
      <c r="L62" s="30"/>
      <c r="M62" s="36"/>
    </row>
    <row r="63" ht="21.0" customHeight="1">
      <c r="A63" s="59">
        <v>61.0</v>
      </c>
      <c r="B63" s="60" t="s">
        <v>74</v>
      </c>
      <c r="C63" s="61">
        <v>500.0</v>
      </c>
      <c r="D63" s="62">
        <v>3.0</v>
      </c>
      <c r="E63" s="63">
        <v>2.0</v>
      </c>
      <c r="F63" s="64"/>
      <c r="G63" s="62"/>
      <c r="H63" s="62">
        <v>2.0</v>
      </c>
      <c r="I63" s="66">
        <f t="shared" si="1"/>
        <v>0</v>
      </c>
      <c r="J63" s="67">
        <f t="shared" si="2"/>
        <v>0</v>
      </c>
      <c r="K63" s="68"/>
      <c r="L63" s="62"/>
      <c r="M63" s="69"/>
    </row>
    <row r="64" ht="21.0" customHeight="1">
      <c r="A64" s="17">
        <v>62.0</v>
      </c>
      <c r="B64" s="37" t="s">
        <v>75</v>
      </c>
      <c r="C64" s="38">
        <v>1600.0</v>
      </c>
      <c r="D64" s="39">
        <v>1.0</v>
      </c>
      <c r="E64" s="40">
        <v>0.0</v>
      </c>
      <c r="F64" s="54"/>
      <c r="G64" s="39"/>
      <c r="H64" s="39">
        <v>0.0</v>
      </c>
      <c r="I64" s="23">
        <f t="shared" si="1"/>
        <v>0</v>
      </c>
      <c r="J64" s="24">
        <f t="shared" si="2"/>
        <v>0</v>
      </c>
      <c r="K64" s="25"/>
      <c r="L64" s="39"/>
      <c r="M64" s="42"/>
    </row>
    <row r="65" ht="21.0" customHeight="1">
      <c r="A65" s="56">
        <v>63.0</v>
      </c>
      <c r="B65" s="57" t="s">
        <v>76</v>
      </c>
      <c r="C65" s="58">
        <v>400.0</v>
      </c>
      <c r="D65" s="30">
        <v>1.0</v>
      </c>
      <c r="E65" s="31">
        <v>1.0</v>
      </c>
      <c r="F65" s="55"/>
      <c r="G65" s="30"/>
      <c r="H65" s="30">
        <v>1.0</v>
      </c>
      <c r="I65" s="33">
        <f t="shared" si="1"/>
        <v>0</v>
      </c>
      <c r="J65" s="34">
        <f t="shared" si="2"/>
        <v>0</v>
      </c>
      <c r="K65" s="35"/>
      <c r="L65" s="30"/>
      <c r="M65" s="36"/>
    </row>
    <row r="66" ht="21.0" customHeight="1">
      <c r="A66" s="17">
        <v>64.0</v>
      </c>
      <c r="B66" s="37" t="s">
        <v>77</v>
      </c>
      <c r="C66" s="38">
        <v>400.0</v>
      </c>
      <c r="D66" s="39">
        <v>3.0</v>
      </c>
      <c r="E66" s="40">
        <v>4.0</v>
      </c>
      <c r="F66" s="40">
        <v>1.0</v>
      </c>
      <c r="G66" s="39"/>
      <c r="H66" s="39">
        <v>5.0</v>
      </c>
      <c r="I66" s="23">
        <f t="shared" si="1"/>
        <v>0</v>
      </c>
      <c r="J66" s="24">
        <f t="shared" si="2"/>
        <v>0</v>
      </c>
      <c r="K66" s="25"/>
      <c r="L66" s="39"/>
      <c r="M66" s="42"/>
    </row>
    <row r="67" ht="21.0" customHeight="1">
      <c r="A67" s="56">
        <v>65.0</v>
      </c>
      <c r="B67" s="57" t="s">
        <v>78</v>
      </c>
      <c r="C67" s="58">
        <v>1300.0</v>
      </c>
      <c r="D67" s="30">
        <v>0.0</v>
      </c>
      <c r="E67" s="31">
        <v>0.0</v>
      </c>
      <c r="F67" s="55"/>
      <c r="G67" s="30"/>
      <c r="H67" s="30">
        <v>0.0</v>
      </c>
      <c r="I67" s="33">
        <f t="shared" si="1"/>
        <v>0</v>
      </c>
      <c r="J67" s="34">
        <f t="shared" si="2"/>
        <v>0</v>
      </c>
      <c r="K67" s="35"/>
      <c r="L67" s="30"/>
      <c r="M67" s="36"/>
    </row>
    <row r="68" ht="21.0" customHeight="1">
      <c r="A68" s="17">
        <v>66.0</v>
      </c>
      <c r="B68" s="37" t="s">
        <v>79</v>
      </c>
      <c r="C68" s="38">
        <v>250.0</v>
      </c>
      <c r="D68" s="39">
        <v>0.0</v>
      </c>
      <c r="E68" s="40">
        <v>0.0</v>
      </c>
      <c r="F68" s="54"/>
      <c r="G68" s="39"/>
      <c r="H68" s="39">
        <v>0.0</v>
      </c>
      <c r="I68" s="23">
        <f t="shared" si="1"/>
        <v>0</v>
      </c>
      <c r="J68" s="24">
        <f t="shared" si="2"/>
        <v>0</v>
      </c>
      <c r="K68" s="25"/>
      <c r="L68" s="39"/>
      <c r="M68" s="42"/>
    </row>
    <row r="69" ht="21.0" customHeight="1">
      <c r="A69" s="56">
        <v>67.0</v>
      </c>
      <c r="B69" s="57" t="s">
        <v>80</v>
      </c>
      <c r="C69" s="58">
        <v>350.0</v>
      </c>
      <c r="D69" s="30">
        <v>3.0</v>
      </c>
      <c r="E69" s="31">
        <v>2.0</v>
      </c>
      <c r="F69" s="55"/>
      <c r="G69" s="30"/>
      <c r="H69" s="30">
        <v>2.0</v>
      </c>
      <c r="I69" s="33">
        <f t="shared" si="1"/>
        <v>0</v>
      </c>
      <c r="J69" s="34">
        <f t="shared" si="2"/>
        <v>0</v>
      </c>
      <c r="K69" s="35"/>
      <c r="L69" s="30"/>
      <c r="M69" s="36"/>
    </row>
    <row r="70" ht="21.0" customHeight="1">
      <c r="A70" s="17">
        <v>68.0</v>
      </c>
      <c r="B70" s="37" t="s">
        <v>81</v>
      </c>
      <c r="C70" s="38">
        <v>400.0</v>
      </c>
      <c r="D70" s="39">
        <v>3.0</v>
      </c>
      <c r="E70" s="40">
        <v>2.0</v>
      </c>
      <c r="F70" s="54"/>
      <c r="G70" s="39"/>
      <c r="H70" s="39">
        <v>2.0</v>
      </c>
      <c r="I70" s="23">
        <f t="shared" si="1"/>
        <v>0</v>
      </c>
      <c r="J70" s="24">
        <f t="shared" si="2"/>
        <v>0</v>
      </c>
      <c r="K70" s="25"/>
      <c r="L70" s="39"/>
      <c r="M70" s="42"/>
    </row>
    <row r="71" ht="21.0" customHeight="1">
      <c r="A71" s="56">
        <v>69.0</v>
      </c>
      <c r="B71" s="57" t="s">
        <v>82</v>
      </c>
      <c r="C71" s="58">
        <v>400.0</v>
      </c>
      <c r="D71" s="30">
        <v>3.0</v>
      </c>
      <c r="E71" s="31">
        <v>2.0</v>
      </c>
      <c r="F71" s="55"/>
      <c r="G71" s="30"/>
      <c r="H71" s="30">
        <v>2.0</v>
      </c>
      <c r="I71" s="33">
        <f t="shared" si="1"/>
        <v>0</v>
      </c>
      <c r="J71" s="34">
        <f t="shared" si="2"/>
        <v>0</v>
      </c>
      <c r="K71" s="35"/>
      <c r="L71" s="30"/>
      <c r="M71" s="36"/>
    </row>
    <row r="72" ht="21.0" customHeight="1">
      <c r="A72" s="17">
        <v>70.0</v>
      </c>
      <c r="B72" s="37" t="s">
        <v>83</v>
      </c>
      <c r="C72" s="38">
        <v>450.0</v>
      </c>
      <c r="D72" s="39">
        <v>3.0</v>
      </c>
      <c r="E72" s="40">
        <v>2.0</v>
      </c>
      <c r="F72" s="54"/>
      <c r="G72" s="39"/>
      <c r="H72" s="39">
        <v>2.0</v>
      </c>
      <c r="I72" s="23">
        <f t="shared" si="1"/>
        <v>0</v>
      </c>
      <c r="J72" s="24">
        <f t="shared" si="2"/>
        <v>0</v>
      </c>
      <c r="K72" s="25"/>
      <c r="L72" s="39"/>
      <c r="M72" s="42"/>
    </row>
    <row r="73" ht="21.0" customHeight="1">
      <c r="A73" s="56">
        <v>71.0</v>
      </c>
      <c r="B73" s="57" t="s">
        <v>84</v>
      </c>
      <c r="C73" s="58">
        <v>550.0</v>
      </c>
      <c r="D73" s="30">
        <v>3.0</v>
      </c>
      <c r="E73" s="31">
        <v>2.0</v>
      </c>
      <c r="F73" s="55"/>
      <c r="G73" s="30"/>
      <c r="H73" s="30">
        <v>2.0</v>
      </c>
      <c r="I73" s="33">
        <f t="shared" si="1"/>
        <v>0</v>
      </c>
      <c r="J73" s="34">
        <f t="shared" si="2"/>
        <v>0</v>
      </c>
      <c r="K73" s="35"/>
      <c r="L73" s="30"/>
      <c r="M73" s="36"/>
    </row>
    <row r="74" ht="21.0" customHeight="1">
      <c r="A74" s="17">
        <v>72.0</v>
      </c>
      <c r="B74" s="37" t="s">
        <v>85</v>
      </c>
      <c r="C74" s="38">
        <v>1600.0</v>
      </c>
      <c r="D74" s="39">
        <v>2.0</v>
      </c>
      <c r="E74" s="40">
        <v>0.0</v>
      </c>
      <c r="F74" s="54"/>
      <c r="G74" s="39"/>
      <c r="H74" s="39">
        <v>0.0</v>
      </c>
      <c r="I74" s="23">
        <f t="shared" si="1"/>
        <v>0</v>
      </c>
      <c r="J74" s="24">
        <f t="shared" si="2"/>
        <v>0</v>
      </c>
      <c r="K74" s="25"/>
      <c r="L74" s="39"/>
      <c r="M74" s="42"/>
    </row>
    <row r="75" ht="21.0" customHeight="1">
      <c r="A75" s="56">
        <v>73.0</v>
      </c>
      <c r="B75" s="57" t="s">
        <v>86</v>
      </c>
      <c r="C75" s="58">
        <v>150.0</v>
      </c>
      <c r="D75" s="30">
        <v>4.0</v>
      </c>
      <c r="E75" s="31">
        <v>2.0</v>
      </c>
      <c r="F75" s="55"/>
      <c r="G75" s="30"/>
      <c r="H75" s="30">
        <v>2.0</v>
      </c>
      <c r="I75" s="33">
        <f t="shared" si="1"/>
        <v>0</v>
      </c>
      <c r="J75" s="34">
        <f t="shared" si="2"/>
        <v>0</v>
      </c>
      <c r="K75" s="35"/>
      <c r="L75" s="30"/>
      <c r="M75" s="36"/>
    </row>
    <row r="76" ht="21.0" customHeight="1">
      <c r="A76" s="17">
        <v>74.0</v>
      </c>
      <c r="B76" s="37" t="s">
        <v>87</v>
      </c>
      <c r="C76" s="38">
        <v>100.0</v>
      </c>
      <c r="D76" s="39">
        <v>4.0</v>
      </c>
      <c r="E76" s="40">
        <v>2.0</v>
      </c>
      <c r="F76" s="54"/>
      <c r="G76" s="39"/>
      <c r="H76" s="39">
        <v>2.0</v>
      </c>
      <c r="I76" s="23">
        <f t="shared" si="1"/>
        <v>0</v>
      </c>
      <c r="J76" s="24">
        <f t="shared" si="2"/>
        <v>0</v>
      </c>
      <c r="K76" s="25"/>
      <c r="L76" s="39"/>
      <c r="M76" s="42"/>
    </row>
    <row r="77" ht="21.0" customHeight="1">
      <c r="A77" s="56">
        <v>75.0</v>
      </c>
      <c r="B77" s="57" t="s">
        <v>88</v>
      </c>
      <c r="C77" s="58">
        <v>150.0</v>
      </c>
      <c r="D77" s="30">
        <v>1.0</v>
      </c>
      <c r="E77" s="31">
        <v>2.0</v>
      </c>
      <c r="F77" s="55"/>
      <c r="G77" s="30"/>
      <c r="H77" s="30">
        <v>2.0</v>
      </c>
      <c r="I77" s="33">
        <f t="shared" si="1"/>
        <v>0</v>
      </c>
      <c r="J77" s="34">
        <f t="shared" si="2"/>
        <v>0</v>
      </c>
      <c r="K77" s="35"/>
      <c r="L77" s="30"/>
      <c r="M77" s="36"/>
    </row>
    <row r="78" ht="21.0" customHeight="1">
      <c r="A78" s="17">
        <v>76.0</v>
      </c>
      <c r="B78" s="37" t="s">
        <v>89</v>
      </c>
      <c r="C78" s="38">
        <v>200.0</v>
      </c>
      <c r="D78" s="39">
        <v>1.0</v>
      </c>
      <c r="E78" s="40">
        <v>2.0</v>
      </c>
      <c r="F78" s="54"/>
      <c r="G78" s="39"/>
      <c r="H78" s="39">
        <v>2.0</v>
      </c>
      <c r="I78" s="23">
        <f t="shared" si="1"/>
        <v>0</v>
      </c>
      <c r="J78" s="24">
        <f t="shared" si="2"/>
        <v>0</v>
      </c>
      <c r="K78" s="25"/>
      <c r="L78" s="39"/>
      <c r="M78" s="42"/>
    </row>
    <row r="79" ht="21.0" customHeight="1">
      <c r="A79" s="56">
        <v>77.0</v>
      </c>
      <c r="B79" s="57" t="s">
        <v>90</v>
      </c>
      <c r="C79" s="58">
        <v>250.0</v>
      </c>
      <c r="D79" s="30">
        <v>1.0</v>
      </c>
      <c r="E79" s="31">
        <v>2.0</v>
      </c>
      <c r="F79" s="55"/>
      <c r="G79" s="30"/>
      <c r="H79" s="30">
        <v>2.0</v>
      </c>
      <c r="I79" s="33">
        <f t="shared" si="1"/>
        <v>0</v>
      </c>
      <c r="J79" s="34">
        <f t="shared" si="2"/>
        <v>0</v>
      </c>
      <c r="K79" s="35"/>
      <c r="L79" s="30"/>
      <c r="M79" s="36"/>
    </row>
    <row r="80" ht="21.0" customHeight="1">
      <c r="A80" s="17">
        <v>78.0</v>
      </c>
      <c r="B80" s="37" t="s">
        <v>91</v>
      </c>
      <c r="C80" s="38">
        <v>450.0</v>
      </c>
      <c r="D80" s="39">
        <v>1.0</v>
      </c>
      <c r="E80" s="40">
        <v>1.0</v>
      </c>
      <c r="F80" s="54"/>
      <c r="G80" s="39"/>
      <c r="H80" s="39">
        <v>1.0</v>
      </c>
      <c r="I80" s="23">
        <f t="shared" si="1"/>
        <v>0</v>
      </c>
      <c r="J80" s="24">
        <f t="shared" si="2"/>
        <v>0</v>
      </c>
      <c r="K80" s="25"/>
      <c r="L80" s="39"/>
      <c r="M80" s="42"/>
    </row>
    <row r="81" ht="21.0" customHeight="1">
      <c r="A81" s="56">
        <v>79.0</v>
      </c>
      <c r="B81" s="57" t="s">
        <v>92</v>
      </c>
      <c r="C81" s="58">
        <v>300.0</v>
      </c>
      <c r="D81" s="30">
        <v>4.0</v>
      </c>
      <c r="E81" s="31">
        <v>1.0</v>
      </c>
      <c r="F81" s="31">
        <v>1.0</v>
      </c>
      <c r="G81" s="30"/>
      <c r="H81" s="30">
        <v>2.0</v>
      </c>
      <c r="I81" s="33">
        <f t="shared" si="1"/>
        <v>0</v>
      </c>
      <c r="J81" s="34">
        <f t="shared" si="2"/>
        <v>0</v>
      </c>
      <c r="K81" s="35"/>
      <c r="L81" s="30"/>
      <c r="M81" s="36"/>
    </row>
    <row r="82" ht="21.0" customHeight="1">
      <c r="A82" s="17">
        <v>80.0</v>
      </c>
      <c r="B82" s="37" t="s">
        <v>93</v>
      </c>
      <c r="C82" s="38">
        <v>400.0</v>
      </c>
      <c r="D82" s="39">
        <v>3.0</v>
      </c>
      <c r="E82" s="40">
        <v>3.0</v>
      </c>
      <c r="F82" s="54"/>
      <c r="G82" s="39"/>
      <c r="H82" s="39">
        <v>3.0</v>
      </c>
      <c r="I82" s="23">
        <f t="shared" si="1"/>
        <v>0</v>
      </c>
      <c r="J82" s="24">
        <f t="shared" si="2"/>
        <v>0</v>
      </c>
      <c r="K82" s="25"/>
      <c r="L82" s="39"/>
      <c r="M82" s="42"/>
    </row>
    <row r="83" ht="21.0" customHeight="1">
      <c r="A83" s="56">
        <v>81.0</v>
      </c>
      <c r="B83" s="57" t="s">
        <v>94</v>
      </c>
      <c r="C83" s="58">
        <v>500.0</v>
      </c>
      <c r="D83" s="30">
        <v>1.0</v>
      </c>
      <c r="E83" s="31">
        <v>1.0</v>
      </c>
      <c r="F83" s="55"/>
      <c r="G83" s="30"/>
      <c r="H83" s="30">
        <v>1.0</v>
      </c>
      <c r="I83" s="33">
        <f t="shared" si="1"/>
        <v>0</v>
      </c>
      <c r="J83" s="34">
        <f t="shared" si="2"/>
        <v>0</v>
      </c>
      <c r="K83" s="35"/>
      <c r="L83" s="30"/>
      <c r="M83" s="36"/>
    </row>
    <row r="84" ht="21.0" customHeight="1">
      <c r="A84" s="17">
        <v>82.0</v>
      </c>
      <c r="B84" s="37" t="s">
        <v>95</v>
      </c>
      <c r="C84" s="38">
        <v>1500.0</v>
      </c>
      <c r="D84" s="39">
        <v>1.0</v>
      </c>
      <c r="E84" s="40">
        <v>0.0</v>
      </c>
      <c r="F84" s="54"/>
      <c r="G84" s="39"/>
      <c r="H84" s="39">
        <v>0.0</v>
      </c>
      <c r="I84" s="23">
        <f t="shared" si="1"/>
        <v>0</v>
      </c>
      <c r="J84" s="24">
        <f t="shared" si="2"/>
        <v>0</v>
      </c>
      <c r="K84" s="25"/>
      <c r="L84" s="39"/>
      <c r="M84" s="42"/>
    </row>
    <row r="85" ht="21.0" customHeight="1">
      <c r="A85" s="56">
        <v>83.0</v>
      </c>
      <c r="B85" s="57" t="s">
        <v>96</v>
      </c>
      <c r="C85" s="58">
        <v>300.0</v>
      </c>
      <c r="D85" s="30">
        <v>2.0</v>
      </c>
      <c r="E85" s="31">
        <v>3.0</v>
      </c>
      <c r="F85" s="31">
        <v>2.0</v>
      </c>
      <c r="G85" s="30"/>
      <c r="H85" s="30">
        <v>5.0</v>
      </c>
      <c r="I85" s="33">
        <f t="shared" si="1"/>
        <v>0</v>
      </c>
      <c r="J85" s="34">
        <f t="shared" si="2"/>
        <v>0</v>
      </c>
      <c r="K85" s="35"/>
      <c r="L85" s="30"/>
      <c r="M85" s="36"/>
    </row>
    <row r="86" ht="21.0" customHeight="1">
      <c r="A86" s="17">
        <v>84.0</v>
      </c>
      <c r="B86" s="37" t="s">
        <v>97</v>
      </c>
      <c r="C86" s="38">
        <v>400.0</v>
      </c>
      <c r="D86" s="39">
        <v>2.0</v>
      </c>
      <c r="E86" s="40">
        <v>0.0</v>
      </c>
      <c r="F86" s="54"/>
      <c r="G86" s="39"/>
      <c r="H86" s="39">
        <v>0.0</v>
      </c>
      <c r="I86" s="23">
        <f t="shared" si="1"/>
        <v>0</v>
      </c>
      <c r="J86" s="24">
        <f t="shared" si="2"/>
        <v>0</v>
      </c>
      <c r="K86" s="25"/>
      <c r="L86" s="39"/>
      <c r="M86" s="42"/>
    </row>
    <row r="87" ht="21.0" customHeight="1">
      <c r="A87" s="56">
        <v>85.0</v>
      </c>
      <c r="B87" s="57" t="s">
        <v>98</v>
      </c>
      <c r="C87" s="58">
        <v>500.0</v>
      </c>
      <c r="D87" s="30">
        <v>2.0</v>
      </c>
      <c r="E87" s="31">
        <v>2.0</v>
      </c>
      <c r="F87" s="55"/>
      <c r="G87" s="30"/>
      <c r="H87" s="30">
        <v>2.0</v>
      </c>
      <c r="I87" s="33">
        <f t="shared" si="1"/>
        <v>0</v>
      </c>
      <c r="J87" s="34">
        <f t="shared" si="2"/>
        <v>0</v>
      </c>
      <c r="K87" s="35"/>
      <c r="L87" s="30"/>
      <c r="M87" s="36"/>
    </row>
    <row r="88" ht="21.0" customHeight="1">
      <c r="A88" s="17">
        <v>86.0</v>
      </c>
      <c r="B88" s="37" t="s">
        <v>99</v>
      </c>
      <c r="C88" s="38">
        <v>200.0</v>
      </c>
      <c r="D88" s="39">
        <v>3.0</v>
      </c>
      <c r="E88" s="40">
        <v>5.0</v>
      </c>
      <c r="F88" s="54"/>
      <c r="G88" s="39"/>
      <c r="H88" s="39">
        <v>5.0</v>
      </c>
      <c r="I88" s="23">
        <f t="shared" si="1"/>
        <v>0</v>
      </c>
      <c r="J88" s="24">
        <f t="shared" si="2"/>
        <v>0</v>
      </c>
      <c r="K88" s="25"/>
      <c r="L88" s="39"/>
      <c r="M88" s="42"/>
    </row>
    <row r="89" ht="21.0" customHeight="1">
      <c r="A89" s="56">
        <v>87.0</v>
      </c>
      <c r="B89" s="57" t="s">
        <v>100</v>
      </c>
      <c r="C89" s="58">
        <v>200.0</v>
      </c>
      <c r="D89" s="30">
        <v>2.0</v>
      </c>
      <c r="E89" s="31">
        <v>5.0</v>
      </c>
      <c r="F89" s="55"/>
      <c r="G89" s="30"/>
      <c r="H89" s="30">
        <v>5.0</v>
      </c>
      <c r="I89" s="33">
        <f t="shared" si="1"/>
        <v>0</v>
      </c>
      <c r="J89" s="34">
        <f t="shared" si="2"/>
        <v>0</v>
      </c>
      <c r="K89" s="35"/>
      <c r="L89" s="30"/>
      <c r="M89" s="36"/>
    </row>
    <row r="90" ht="21.0" customHeight="1">
      <c r="A90" s="17">
        <v>88.0</v>
      </c>
      <c r="B90" s="37" t="s">
        <v>101</v>
      </c>
      <c r="C90" s="38">
        <v>200.0</v>
      </c>
      <c r="D90" s="39">
        <v>4.0</v>
      </c>
      <c r="E90" s="40">
        <v>0.0</v>
      </c>
      <c r="F90" s="54"/>
      <c r="G90" s="39"/>
      <c r="H90" s="39">
        <v>0.0</v>
      </c>
      <c r="I90" s="23">
        <f t="shared" si="1"/>
        <v>0</v>
      </c>
      <c r="J90" s="24">
        <f t="shared" si="2"/>
        <v>0</v>
      </c>
      <c r="K90" s="25"/>
      <c r="L90" s="39"/>
      <c r="M90" s="42"/>
    </row>
    <row r="91" ht="21.0" customHeight="1">
      <c r="A91" s="56">
        <v>89.0</v>
      </c>
      <c r="B91" s="57" t="s">
        <v>102</v>
      </c>
      <c r="C91" s="58">
        <v>200.0</v>
      </c>
      <c r="D91" s="30">
        <v>2.0</v>
      </c>
      <c r="E91" s="31">
        <v>7.0</v>
      </c>
      <c r="F91" s="55"/>
      <c r="G91" s="30"/>
      <c r="H91" s="30">
        <v>7.0</v>
      </c>
      <c r="I91" s="33">
        <f t="shared" si="1"/>
        <v>0</v>
      </c>
      <c r="J91" s="34">
        <f t="shared" si="2"/>
        <v>0</v>
      </c>
      <c r="K91" s="35"/>
      <c r="L91" s="30"/>
      <c r="M91" s="36"/>
    </row>
    <row r="92" ht="21.0" customHeight="1">
      <c r="A92" s="17">
        <v>90.0</v>
      </c>
      <c r="B92" s="37" t="s">
        <v>103</v>
      </c>
      <c r="C92" s="38">
        <v>150.0</v>
      </c>
      <c r="D92" s="39">
        <v>1.0</v>
      </c>
      <c r="E92" s="40">
        <v>5.0</v>
      </c>
      <c r="F92" s="54"/>
      <c r="G92" s="39"/>
      <c r="H92" s="39">
        <v>5.0</v>
      </c>
      <c r="I92" s="23">
        <f t="shared" si="1"/>
        <v>0</v>
      </c>
      <c r="J92" s="24">
        <f t="shared" si="2"/>
        <v>0</v>
      </c>
      <c r="K92" s="25"/>
      <c r="L92" s="39"/>
      <c r="M92" s="42"/>
    </row>
    <row r="93" ht="21.0" customHeight="1">
      <c r="A93" s="56">
        <v>91.0</v>
      </c>
      <c r="B93" s="57" t="s">
        <v>104</v>
      </c>
      <c r="C93" s="58">
        <v>100.0</v>
      </c>
      <c r="D93" s="30">
        <v>4.0</v>
      </c>
      <c r="E93" s="31">
        <v>6.0</v>
      </c>
      <c r="F93" s="55"/>
      <c r="G93" s="30"/>
      <c r="H93" s="30">
        <v>6.0</v>
      </c>
      <c r="I93" s="33">
        <f t="shared" si="1"/>
        <v>0</v>
      </c>
      <c r="J93" s="34">
        <f t="shared" si="2"/>
        <v>0</v>
      </c>
      <c r="K93" s="35"/>
      <c r="L93" s="30"/>
      <c r="M93" s="36"/>
    </row>
    <row r="94" ht="21.0" customHeight="1">
      <c r="A94" s="17">
        <v>92.0</v>
      </c>
      <c r="B94" s="37" t="s">
        <v>105</v>
      </c>
      <c r="C94" s="38">
        <v>150.0</v>
      </c>
      <c r="D94" s="39">
        <v>2.0</v>
      </c>
      <c r="E94" s="40">
        <v>3.0</v>
      </c>
      <c r="F94" s="54"/>
      <c r="G94" s="39"/>
      <c r="H94" s="39">
        <v>3.0</v>
      </c>
      <c r="I94" s="23">
        <f t="shared" si="1"/>
        <v>0</v>
      </c>
      <c r="J94" s="24">
        <f t="shared" si="2"/>
        <v>0</v>
      </c>
      <c r="K94" s="25"/>
      <c r="L94" s="39"/>
      <c r="M94" s="42"/>
    </row>
    <row r="95" ht="21.0" customHeight="1">
      <c r="A95" s="56">
        <v>93.0</v>
      </c>
      <c r="B95" s="57" t="s">
        <v>106</v>
      </c>
      <c r="C95" s="58">
        <v>200.0</v>
      </c>
      <c r="D95" s="30">
        <v>2.0</v>
      </c>
      <c r="E95" s="31">
        <v>3.0</v>
      </c>
      <c r="F95" s="55"/>
      <c r="G95" s="30"/>
      <c r="H95" s="30">
        <v>3.0</v>
      </c>
      <c r="I95" s="33">
        <f t="shared" si="1"/>
        <v>0</v>
      </c>
      <c r="J95" s="34">
        <f t="shared" si="2"/>
        <v>0</v>
      </c>
      <c r="K95" s="35"/>
      <c r="L95" s="30"/>
      <c r="M95" s="36"/>
    </row>
    <row r="96" ht="21.0" customHeight="1">
      <c r="A96" s="17">
        <v>94.0</v>
      </c>
      <c r="B96" s="37" t="s">
        <v>107</v>
      </c>
      <c r="C96" s="38">
        <v>150.0</v>
      </c>
      <c r="D96" s="39">
        <v>4.0</v>
      </c>
      <c r="E96" s="40">
        <v>2.0</v>
      </c>
      <c r="F96" s="54"/>
      <c r="G96" s="39"/>
      <c r="H96" s="39">
        <v>2.0</v>
      </c>
      <c r="I96" s="23">
        <f t="shared" si="1"/>
        <v>0</v>
      </c>
      <c r="J96" s="24">
        <f t="shared" si="2"/>
        <v>0</v>
      </c>
      <c r="K96" s="25"/>
      <c r="L96" s="39"/>
      <c r="M96" s="42"/>
    </row>
    <row r="97" ht="21.0" customHeight="1">
      <c r="A97" s="56">
        <v>95.0</v>
      </c>
      <c r="B97" s="57" t="s">
        <v>108</v>
      </c>
      <c r="C97" s="58">
        <v>200.0</v>
      </c>
      <c r="D97" s="30">
        <v>2.0</v>
      </c>
      <c r="E97" s="31">
        <v>5.0</v>
      </c>
      <c r="F97" s="55"/>
      <c r="G97" s="30"/>
      <c r="H97" s="30">
        <v>5.0</v>
      </c>
      <c r="I97" s="33">
        <f t="shared" si="1"/>
        <v>0</v>
      </c>
      <c r="J97" s="34">
        <f t="shared" si="2"/>
        <v>0</v>
      </c>
      <c r="K97" s="35"/>
      <c r="L97" s="30"/>
      <c r="M97" s="36"/>
    </row>
    <row r="98" ht="21.0" customHeight="1">
      <c r="A98" s="17">
        <v>96.0</v>
      </c>
      <c r="B98" s="37" t="s">
        <v>109</v>
      </c>
      <c r="C98" s="38">
        <v>250.0</v>
      </c>
      <c r="D98" s="39">
        <v>3.0</v>
      </c>
      <c r="E98" s="40">
        <v>2.0</v>
      </c>
      <c r="F98" s="54"/>
      <c r="G98" s="39"/>
      <c r="H98" s="39">
        <v>2.0</v>
      </c>
      <c r="I98" s="23">
        <f t="shared" si="1"/>
        <v>0</v>
      </c>
      <c r="J98" s="24">
        <f t="shared" si="2"/>
        <v>0</v>
      </c>
      <c r="K98" s="25"/>
      <c r="L98" s="39"/>
      <c r="M98" s="42"/>
    </row>
    <row r="99" ht="21.0" customHeight="1">
      <c r="A99" s="56">
        <v>97.0</v>
      </c>
      <c r="B99" s="57" t="s">
        <v>110</v>
      </c>
      <c r="C99" s="58">
        <v>300.0</v>
      </c>
      <c r="D99" s="43">
        <v>2.0</v>
      </c>
      <c r="E99" s="44">
        <v>1.0</v>
      </c>
      <c r="F99" s="52"/>
      <c r="G99" s="43"/>
      <c r="H99" s="43">
        <v>1.0</v>
      </c>
      <c r="I99" s="33">
        <f t="shared" si="1"/>
        <v>0</v>
      </c>
      <c r="J99" s="34">
        <f t="shared" si="2"/>
        <v>0</v>
      </c>
      <c r="K99" s="35"/>
      <c r="L99" s="43"/>
      <c r="M99" s="46"/>
    </row>
    <row r="100" ht="21.0" customHeight="1">
      <c r="A100" s="17">
        <v>98.0</v>
      </c>
      <c r="B100" s="37" t="s">
        <v>111</v>
      </c>
      <c r="C100" s="38">
        <v>300.0</v>
      </c>
      <c r="D100" s="47">
        <v>1.0</v>
      </c>
      <c r="E100" s="48">
        <v>1.0</v>
      </c>
      <c r="F100" s="51"/>
      <c r="G100" s="47"/>
      <c r="H100" s="47">
        <v>1.0</v>
      </c>
      <c r="I100" s="23">
        <f t="shared" si="1"/>
        <v>0</v>
      </c>
      <c r="J100" s="24">
        <f t="shared" si="2"/>
        <v>0</v>
      </c>
      <c r="K100" s="25"/>
      <c r="L100" s="47"/>
      <c r="M100" s="50"/>
    </row>
    <row r="101" ht="21.0" customHeight="1">
      <c r="A101" s="56">
        <v>99.0</v>
      </c>
      <c r="B101" s="57" t="s">
        <v>112</v>
      </c>
      <c r="C101" s="58">
        <v>150.0</v>
      </c>
      <c r="D101" s="30">
        <v>2.0</v>
      </c>
      <c r="E101" s="31">
        <v>2.0</v>
      </c>
      <c r="F101" s="55"/>
      <c r="G101" s="30"/>
      <c r="H101" s="30">
        <v>2.0</v>
      </c>
      <c r="I101" s="33">
        <f t="shared" si="1"/>
        <v>0</v>
      </c>
      <c r="J101" s="34">
        <f t="shared" si="2"/>
        <v>0</v>
      </c>
      <c r="K101" s="35"/>
      <c r="L101" s="30"/>
      <c r="M101" s="36"/>
    </row>
    <row r="102" ht="21.0" customHeight="1">
      <c r="A102" s="17">
        <v>100.0</v>
      </c>
      <c r="B102" s="37" t="s">
        <v>113</v>
      </c>
      <c r="C102" s="38">
        <v>1400.0</v>
      </c>
      <c r="D102" s="39">
        <v>1.0</v>
      </c>
      <c r="E102" s="40">
        <v>0.0</v>
      </c>
      <c r="F102" s="54"/>
      <c r="G102" s="39"/>
      <c r="H102" s="39">
        <v>0.0</v>
      </c>
      <c r="I102" s="23">
        <f t="shared" si="1"/>
        <v>0</v>
      </c>
      <c r="J102" s="24">
        <f t="shared" si="2"/>
        <v>0</v>
      </c>
      <c r="K102" s="25"/>
      <c r="L102" s="39"/>
      <c r="M102" s="42"/>
    </row>
    <row r="103" ht="21.0" customHeight="1">
      <c r="A103" s="56">
        <v>101.0</v>
      </c>
      <c r="B103" s="57" t="s">
        <v>114</v>
      </c>
      <c r="C103" s="58">
        <v>1800.0</v>
      </c>
      <c r="D103" s="30">
        <v>1.0</v>
      </c>
      <c r="E103" s="31">
        <v>0.0</v>
      </c>
      <c r="F103" s="55"/>
      <c r="G103" s="30"/>
      <c r="H103" s="30">
        <v>0.0</v>
      </c>
      <c r="I103" s="33">
        <f t="shared" si="1"/>
        <v>0</v>
      </c>
      <c r="J103" s="34">
        <f t="shared" si="2"/>
        <v>0</v>
      </c>
      <c r="K103" s="35"/>
      <c r="L103" s="30"/>
      <c r="M103" s="36"/>
    </row>
    <row r="104" ht="21.0" customHeight="1">
      <c r="A104" s="17">
        <v>102.0</v>
      </c>
      <c r="B104" s="37" t="s">
        <v>115</v>
      </c>
      <c r="C104" s="38">
        <v>200.0</v>
      </c>
      <c r="D104" s="39">
        <v>1.0</v>
      </c>
      <c r="E104" s="40">
        <v>0.0</v>
      </c>
      <c r="F104" s="54"/>
      <c r="G104" s="39"/>
      <c r="H104" s="39">
        <v>0.0</v>
      </c>
      <c r="I104" s="23">
        <f t="shared" si="1"/>
        <v>0</v>
      </c>
      <c r="J104" s="24">
        <f t="shared" si="2"/>
        <v>0</v>
      </c>
      <c r="K104" s="25"/>
      <c r="L104" s="39"/>
      <c r="M104" s="42"/>
    </row>
    <row r="105" ht="25.5" customHeight="1">
      <c r="A105" s="56">
        <v>103.0</v>
      </c>
      <c r="B105" s="71" t="s">
        <v>116</v>
      </c>
      <c r="C105" s="58">
        <v>150.0</v>
      </c>
      <c r="D105" s="30">
        <v>1.0</v>
      </c>
      <c r="E105" s="31">
        <v>0.0</v>
      </c>
      <c r="F105" s="55"/>
      <c r="G105" s="30"/>
      <c r="H105" s="30">
        <v>0.0</v>
      </c>
      <c r="I105" s="33">
        <f t="shared" si="1"/>
        <v>0</v>
      </c>
      <c r="J105" s="34">
        <f t="shared" si="2"/>
        <v>0</v>
      </c>
      <c r="K105" s="35"/>
      <c r="L105" s="30"/>
      <c r="M105" s="36"/>
    </row>
    <row r="106" ht="21.0" customHeight="1">
      <c r="A106" s="17">
        <v>104.0</v>
      </c>
      <c r="B106" s="37" t="s">
        <v>117</v>
      </c>
      <c r="C106" s="38">
        <v>150.0</v>
      </c>
      <c r="D106" s="39">
        <v>2.0</v>
      </c>
      <c r="E106" s="40">
        <v>0.0</v>
      </c>
      <c r="F106" s="54"/>
      <c r="G106" s="39"/>
      <c r="H106" s="39">
        <v>0.0</v>
      </c>
      <c r="I106" s="23">
        <f t="shared" si="1"/>
        <v>0</v>
      </c>
      <c r="J106" s="24">
        <f t="shared" si="2"/>
        <v>0</v>
      </c>
      <c r="K106" s="25"/>
      <c r="L106" s="39"/>
      <c r="M106" s="42"/>
    </row>
    <row r="107" ht="21.0" customHeight="1">
      <c r="A107" s="56">
        <v>105.0</v>
      </c>
      <c r="B107" s="57" t="s">
        <v>118</v>
      </c>
      <c r="C107" s="58">
        <v>200.0</v>
      </c>
      <c r="D107" s="30">
        <v>1.0</v>
      </c>
      <c r="E107" s="31">
        <v>0.0</v>
      </c>
      <c r="F107" s="55"/>
      <c r="G107" s="30"/>
      <c r="H107" s="30">
        <v>0.0</v>
      </c>
      <c r="I107" s="33">
        <f t="shared" si="1"/>
        <v>0</v>
      </c>
      <c r="J107" s="34">
        <f t="shared" si="2"/>
        <v>0</v>
      </c>
      <c r="K107" s="35"/>
      <c r="L107" s="30"/>
      <c r="M107" s="36"/>
    </row>
    <row r="108" ht="21.0" customHeight="1">
      <c r="A108" s="17">
        <v>106.0</v>
      </c>
      <c r="B108" s="37" t="s">
        <v>119</v>
      </c>
      <c r="C108" s="38">
        <v>400.0</v>
      </c>
      <c r="D108" s="47">
        <v>2.0</v>
      </c>
      <c r="E108" s="48">
        <v>1.0</v>
      </c>
      <c r="F108" s="51"/>
      <c r="G108" s="47"/>
      <c r="H108" s="47">
        <v>1.0</v>
      </c>
      <c r="I108" s="23">
        <f t="shared" si="1"/>
        <v>0</v>
      </c>
      <c r="J108" s="24">
        <f t="shared" si="2"/>
        <v>0</v>
      </c>
      <c r="K108" s="25"/>
      <c r="L108" s="47"/>
      <c r="M108" s="50"/>
    </row>
    <row r="109" ht="21.0" customHeight="1">
      <c r="A109" s="56">
        <v>107.0</v>
      </c>
      <c r="B109" s="57" t="s">
        <v>120</v>
      </c>
      <c r="C109" s="58">
        <v>200.0</v>
      </c>
      <c r="D109" s="43">
        <v>5.0</v>
      </c>
      <c r="E109" s="44">
        <v>4.0</v>
      </c>
      <c r="F109" s="52"/>
      <c r="G109" s="43"/>
      <c r="H109" s="43">
        <v>4.0</v>
      </c>
      <c r="I109" s="33">
        <f t="shared" si="1"/>
        <v>0</v>
      </c>
      <c r="J109" s="34">
        <f t="shared" si="2"/>
        <v>0</v>
      </c>
      <c r="K109" s="35"/>
      <c r="L109" s="43"/>
      <c r="M109" s="46"/>
    </row>
    <row r="110" ht="21.0" customHeight="1">
      <c r="A110" s="17">
        <v>108.0</v>
      </c>
      <c r="B110" s="37" t="s">
        <v>121</v>
      </c>
      <c r="C110" s="38">
        <v>350.0</v>
      </c>
      <c r="D110" s="39">
        <v>3.0</v>
      </c>
      <c r="E110" s="40">
        <v>0.0</v>
      </c>
      <c r="F110" s="54"/>
      <c r="G110" s="39"/>
      <c r="H110" s="39">
        <v>0.0</v>
      </c>
      <c r="I110" s="23">
        <f t="shared" si="1"/>
        <v>0</v>
      </c>
      <c r="J110" s="24">
        <f t="shared" si="2"/>
        <v>0</v>
      </c>
      <c r="K110" s="25"/>
      <c r="L110" s="39"/>
      <c r="M110" s="42"/>
    </row>
    <row r="111" ht="21.0" customHeight="1">
      <c r="A111" s="56">
        <v>109.0</v>
      </c>
      <c r="B111" s="57" t="s">
        <v>122</v>
      </c>
      <c r="C111" s="58">
        <v>250.0</v>
      </c>
      <c r="D111" s="30">
        <v>1.0</v>
      </c>
      <c r="E111" s="31">
        <v>0.0</v>
      </c>
      <c r="F111" s="55"/>
      <c r="G111" s="30"/>
      <c r="H111" s="30">
        <v>0.0</v>
      </c>
      <c r="I111" s="33">
        <f t="shared" si="1"/>
        <v>0</v>
      </c>
      <c r="J111" s="34">
        <f t="shared" si="2"/>
        <v>0</v>
      </c>
      <c r="K111" s="35"/>
      <c r="L111" s="30"/>
      <c r="M111" s="36"/>
    </row>
    <row r="112" ht="21.0" customHeight="1">
      <c r="A112" s="17">
        <v>110.0</v>
      </c>
      <c r="B112" s="37" t="s">
        <v>123</v>
      </c>
      <c r="C112" s="38">
        <v>550.0</v>
      </c>
      <c r="D112" s="39">
        <v>1.0</v>
      </c>
      <c r="E112" s="40">
        <v>0.0</v>
      </c>
      <c r="F112" s="54"/>
      <c r="G112" s="39"/>
      <c r="H112" s="39">
        <v>0.0</v>
      </c>
      <c r="I112" s="23">
        <f t="shared" si="1"/>
        <v>0</v>
      </c>
      <c r="J112" s="24">
        <f t="shared" si="2"/>
        <v>0</v>
      </c>
      <c r="K112" s="25"/>
      <c r="L112" s="39"/>
      <c r="M112" s="42"/>
    </row>
    <row r="113" ht="21.0" customHeight="1">
      <c r="A113" s="56">
        <v>111.0</v>
      </c>
      <c r="B113" s="57" t="s">
        <v>124</v>
      </c>
      <c r="C113" s="58">
        <v>800.0</v>
      </c>
      <c r="D113" s="30">
        <v>1.0</v>
      </c>
      <c r="E113" s="31">
        <v>0.0</v>
      </c>
      <c r="F113" s="31">
        <v>1.0</v>
      </c>
      <c r="G113" s="30"/>
      <c r="H113" s="30">
        <v>1.0</v>
      </c>
      <c r="I113" s="33">
        <f t="shared" si="1"/>
        <v>0</v>
      </c>
      <c r="J113" s="34">
        <f t="shared" si="2"/>
        <v>0</v>
      </c>
      <c r="K113" s="35"/>
      <c r="L113" s="30"/>
      <c r="M113" s="36"/>
    </row>
    <row r="114" ht="21.0" customHeight="1">
      <c r="A114" s="17">
        <v>112.0</v>
      </c>
      <c r="B114" s="37" t="s">
        <v>125</v>
      </c>
      <c r="C114" s="38">
        <v>2000.0</v>
      </c>
      <c r="D114" s="39">
        <v>1.0</v>
      </c>
      <c r="E114" s="40">
        <v>0.0</v>
      </c>
      <c r="F114" s="54"/>
      <c r="G114" s="39"/>
      <c r="H114" s="39">
        <v>0.0</v>
      </c>
      <c r="I114" s="23">
        <f t="shared" si="1"/>
        <v>0</v>
      </c>
      <c r="J114" s="24">
        <f t="shared" si="2"/>
        <v>0</v>
      </c>
      <c r="K114" s="25"/>
      <c r="L114" s="39"/>
      <c r="M114" s="42"/>
    </row>
    <row r="115" ht="21.0" customHeight="1">
      <c r="A115" s="56">
        <v>113.0</v>
      </c>
      <c r="B115" s="57" t="s">
        <v>126</v>
      </c>
      <c r="C115" s="58">
        <v>300.0</v>
      </c>
      <c r="D115" s="43">
        <v>1.0</v>
      </c>
      <c r="E115" s="44">
        <v>1.0</v>
      </c>
      <c r="F115" s="52"/>
      <c r="G115" s="43"/>
      <c r="H115" s="43">
        <v>1.0</v>
      </c>
      <c r="I115" s="33">
        <f t="shared" si="1"/>
        <v>0</v>
      </c>
      <c r="J115" s="34">
        <f t="shared" si="2"/>
        <v>0</v>
      </c>
      <c r="K115" s="35"/>
      <c r="L115" s="43"/>
      <c r="M115" s="46"/>
    </row>
    <row r="116" ht="21.0" customHeight="1">
      <c r="A116" s="17">
        <v>114.0</v>
      </c>
      <c r="B116" s="37" t="s">
        <v>127</v>
      </c>
      <c r="C116" s="38">
        <v>200.0</v>
      </c>
      <c r="D116" s="39">
        <v>0.0</v>
      </c>
      <c r="E116" s="40">
        <v>0.0</v>
      </c>
      <c r="F116" s="54"/>
      <c r="G116" s="39"/>
      <c r="H116" s="39">
        <v>0.0</v>
      </c>
      <c r="I116" s="23">
        <f t="shared" si="1"/>
        <v>0</v>
      </c>
      <c r="J116" s="24">
        <f t="shared" si="2"/>
        <v>0</v>
      </c>
      <c r="K116" s="25"/>
      <c r="L116" s="39"/>
      <c r="M116" s="42"/>
    </row>
    <row r="117" ht="21.0" customHeight="1">
      <c r="A117" s="56">
        <v>115.0</v>
      </c>
      <c r="B117" s="57" t="s">
        <v>128</v>
      </c>
      <c r="C117" s="58">
        <v>250.0</v>
      </c>
      <c r="D117" s="30">
        <v>0.0</v>
      </c>
      <c r="E117" s="31">
        <v>0.0</v>
      </c>
      <c r="F117" s="55"/>
      <c r="G117" s="30"/>
      <c r="H117" s="30">
        <v>0.0</v>
      </c>
      <c r="I117" s="33">
        <f t="shared" si="1"/>
        <v>0</v>
      </c>
      <c r="J117" s="34">
        <f t="shared" si="2"/>
        <v>0</v>
      </c>
      <c r="K117" s="35"/>
      <c r="L117" s="30"/>
      <c r="M117" s="36"/>
    </row>
    <row r="118" ht="21.0" customHeight="1">
      <c r="A118" s="17">
        <v>116.0</v>
      </c>
      <c r="B118" s="37" t="s">
        <v>129</v>
      </c>
      <c r="C118" s="38">
        <v>250.0</v>
      </c>
      <c r="D118" s="39">
        <v>0.0</v>
      </c>
      <c r="E118" s="40">
        <v>0.0</v>
      </c>
      <c r="F118" s="54"/>
      <c r="G118" s="39"/>
      <c r="H118" s="39">
        <v>0.0</v>
      </c>
      <c r="I118" s="23">
        <f t="shared" si="1"/>
        <v>0</v>
      </c>
      <c r="J118" s="24">
        <f t="shared" si="2"/>
        <v>0</v>
      </c>
      <c r="K118" s="25"/>
      <c r="L118" s="39"/>
      <c r="M118" s="42"/>
    </row>
    <row r="119" ht="21.0" customHeight="1">
      <c r="A119" s="56">
        <v>117.0</v>
      </c>
      <c r="B119" s="57" t="s">
        <v>130</v>
      </c>
      <c r="C119" s="58">
        <v>250.0</v>
      </c>
      <c r="D119" s="30">
        <v>1.0</v>
      </c>
      <c r="E119" s="31">
        <v>0.0</v>
      </c>
      <c r="F119" s="55"/>
      <c r="G119" s="30"/>
      <c r="H119" s="30">
        <v>0.0</v>
      </c>
      <c r="I119" s="33">
        <f t="shared" si="1"/>
        <v>0</v>
      </c>
      <c r="J119" s="34">
        <f t="shared" si="2"/>
        <v>0</v>
      </c>
      <c r="K119" s="35"/>
      <c r="L119" s="30"/>
      <c r="M119" s="36"/>
    </row>
    <row r="120" ht="21.0" customHeight="1">
      <c r="A120" s="17">
        <v>118.0</v>
      </c>
      <c r="B120" s="37" t="s">
        <v>131</v>
      </c>
      <c r="C120" s="38">
        <v>250.0</v>
      </c>
      <c r="D120" s="39">
        <v>1.0</v>
      </c>
      <c r="E120" s="40">
        <v>0.0</v>
      </c>
      <c r="F120" s="54"/>
      <c r="G120" s="39"/>
      <c r="H120" s="39">
        <v>0.0</v>
      </c>
      <c r="I120" s="23">
        <f t="shared" si="1"/>
        <v>0</v>
      </c>
      <c r="J120" s="24">
        <f t="shared" si="2"/>
        <v>0</v>
      </c>
      <c r="K120" s="25"/>
      <c r="L120" s="39"/>
      <c r="M120" s="42"/>
    </row>
    <row r="121" ht="21.0" customHeight="1">
      <c r="A121" s="56">
        <v>119.0</v>
      </c>
      <c r="B121" s="57" t="s">
        <v>132</v>
      </c>
      <c r="C121" s="58">
        <v>750.0</v>
      </c>
      <c r="D121" s="30">
        <v>1.0</v>
      </c>
      <c r="E121" s="31">
        <v>0.0</v>
      </c>
      <c r="F121" s="55"/>
      <c r="G121" s="30"/>
      <c r="H121" s="30">
        <v>0.0</v>
      </c>
      <c r="I121" s="33">
        <f t="shared" si="1"/>
        <v>0</v>
      </c>
      <c r="J121" s="34">
        <f t="shared" si="2"/>
        <v>0</v>
      </c>
      <c r="K121" s="35"/>
      <c r="L121" s="30"/>
      <c r="M121" s="36"/>
    </row>
    <row r="122" ht="21.0" customHeight="1">
      <c r="A122" s="17">
        <v>120.0</v>
      </c>
      <c r="B122" s="37" t="s">
        <v>133</v>
      </c>
      <c r="C122" s="38">
        <v>800.0</v>
      </c>
      <c r="D122" s="39">
        <v>3.0</v>
      </c>
      <c r="E122" s="40">
        <v>2.0</v>
      </c>
      <c r="F122" s="54"/>
      <c r="G122" s="39"/>
      <c r="H122" s="39">
        <v>2.0</v>
      </c>
      <c r="I122" s="23">
        <f t="shared" si="1"/>
        <v>0</v>
      </c>
      <c r="J122" s="24">
        <f t="shared" si="2"/>
        <v>0</v>
      </c>
      <c r="K122" s="25"/>
      <c r="L122" s="39"/>
      <c r="M122" s="42"/>
    </row>
    <row r="123" ht="21.0" customHeight="1">
      <c r="A123" s="56">
        <v>121.0</v>
      </c>
      <c r="B123" s="57" t="s">
        <v>134</v>
      </c>
      <c r="C123" s="58">
        <v>150.0</v>
      </c>
      <c r="D123" s="30">
        <v>2.0</v>
      </c>
      <c r="E123" s="31">
        <v>2.0</v>
      </c>
      <c r="F123" s="55"/>
      <c r="G123" s="30"/>
      <c r="H123" s="30">
        <v>2.0</v>
      </c>
      <c r="I123" s="33">
        <f t="shared" si="1"/>
        <v>0</v>
      </c>
      <c r="J123" s="34">
        <f t="shared" si="2"/>
        <v>0</v>
      </c>
      <c r="K123" s="35"/>
      <c r="L123" s="30"/>
      <c r="M123" s="36"/>
    </row>
    <row r="124" ht="21.0" customHeight="1">
      <c r="A124" s="17">
        <v>122.0</v>
      </c>
      <c r="B124" s="37" t="s">
        <v>135</v>
      </c>
      <c r="C124" s="38">
        <v>150.0</v>
      </c>
      <c r="D124" s="39">
        <v>6.0</v>
      </c>
      <c r="E124" s="40">
        <v>0.0</v>
      </c>
      <c r="F124" s="40">
        <v>12.0</v>
      </c>
      <c r="G124" s="72"/>
      <c r="H124" s="39">
        <v>12.0</v>
      </c>
      <c r="I124" s="23">
        <f t="shared" si="1"/>
        <v>0</v>
      </c>
      <c r="J124" s="73">
        <f t="shared" si="2"/>
        <v>0</v>
      </c>
      <c r="K124" s="25"/>
      <c r="L124" s="39"/>
      <c r="M124" s="42"/>
    </row>
    <row r="125" ht="21.0" customHeight="1">
      <c r="A125" s="17">
        <v>123.0</v>
      </c>
      <c r="B125" s="37" t="s">
        <v>159</v>
      </c>
      <c r="C125" s="38">
        <v>100.0</v>
      </c>
      <c r="D125" s="39">
        <v>7.0</v>
      </c>
      <c r="E125" s="40">
        <v>0.0</v>
      </c>
      <c r="F125" s="54"/>
      <c r="G125" s="72"/>
      <c r="H125" s="39">
        <v>0.0</v>
      </c>
      <c r="I125" s="23">
        <f t="shared" si="1"/>
        <v>0</v>
      </c>
      <c r="J125" s="73">
        <f t="shared" si="2"/>
        <v>0</v>
      </c>
      <c r="K125" s="25"/>
      <c r="L125" s="39"/>
      <c r="M125" s="42"/>
    </row>
    <row r="126" ht="21.0" customHeight="1">
      <c r="B126" s="74"/>
      <c r="J126" s="75">
        <f>SUM(J3:J125)</f>
        <v>2450</v>
      </c>
    </row>
    <row r="127" ht="21.0" customHeight="1">
      <c r="B127" s="74"/>
    </row>
    <row r="128" ht="85.5" customHeight="1">
      <c r="B128" s="74"/>
    </row>
    <row r="129" ht="94.5" customHeight="1">
      <c r="B129" s="74"/>
      <c r="C129" s="76" t="s">
        <v>136</v>
      </c>
      <c r="D129" s="77"/>
      <c r="E129" s="78"/>
      <c r="F129" s="79" t="s">
        <v>171</v>
      </c>
      <c r="G129" s="79" t="s">
        <v>172</v>
      </c>
      <c r="H129" s="79"/>
      <c r="I129" s="79"/>
      <c r="J129" s="79"/>
      <c r="K129" s="80"/>
      <c r="L129" s="81" t="s">
        <v>138</v>
      </c>
    </row>
    <row r="130" ht="21.0" customHeight="1">
      <c r="B130" s="74"/>
      <c r="C130" s="82" t="s">
        <v>139</v>
      </c>
      <c r="D130" s="83"/>
      <c r="E130" s="84"/>
      <c r="F130" s="138">
        <v>1850.0</v>
      </c>
      <c r="G130" s="138">
        <v>600.0</v>
      </c>
      <c r="H130" s="86"/>
      <c r="I130" s="86"/>
      <c r="J130" s="86"/>
      <c r="K130" s="87"/>
      <c r="L130" s="88">
        <f>(E130+F130+G130+H130+I130+J130+K130)-J126</f>
        <v>0</v>
      </c>
    </row>
    <row r="131" ht="21.0" customHeight="1">
      <c r="B131" s="74"/>
      <c r="C131" s="89" t="s">
        <v>140</v>
      </c>
      <c r="D131" s="90"/>
      <c r="E131" s="91"/>
      <c r="F131" s="93">
        <v>80.0</v>
      </c>
      <c r="G131" s="93">
        <v>80.0</v>
      </c>
      <c r="H131" s="93"/>
      <c r="I131" s="93"/>
      <c r="J131" s="93"/>
      <c r="K131" s="94"/>
      <c r="L131" s="95"/>
    </row>
    <row r="132" ht="21.0" customHeight="1">
      <c r="B132" s="74"/>
      <c r="C132" s="89" t="s">
        <v>141</v>
      </c>
      <c r="D132" s="90"/>
      <c r="E132" s="91"/>
      <c r="F132" s="93"/>
      <c r="G132" s="93"/>
      <c r="H132" s="93"/>
      <c r="I132" s="93"/>
      <c r="J132" s="93"/>
      <c r="K132" s="94"/>
      <c r="L132" s="95"/>
    </row>
    <row r="133" ht="21.0" customHeight="1">
      <c r="B133" s="74"/>
      <c r="C133" s="89" t="s">
        <v>142</v>
      </c>
      <c r="D133" s="90"/>
      <c r="E133" s="91"/>
      <c r="F133" s="93"/>
      <c r="G133" s="93"/>
      <c r="H133" s="93"/>
      <c r="I133" s="93"/>
      <c r="J133" s="93"/>
      <c r="K133" s="94"/>
      <c r="L133" s="95"/>
    </row>
    <row r="134" ht="21.0" customHeight="1">
      <c r="B134" s="74"/>
      <c r="C134" s="89" t="s">
        <v>143</v>
      </c>
      <c r="D134" s="90"/>
      <c r="E134" s="91"/>
      <c r="F134" s="85">
        <v>100.0</v>
      </c>
      <c r="G134" s="93"/>
      <c r="H134" s="93"/>
      <c r="I134" s="93"/>
      <c r="J134" s="93"/>
      <c r="K134" s="94"/>
      <c r="L134" s="95"/>
    </row>
    <row r="135" ht="21.0" customHeight="1">
      <c r="B135" s="74"/>
      <c r="C135" s="89" t="s">
        <v>144</v>
      </c>
      <c r="D135" s="90"/>
      <c r="E135" s="147" t="s">
        <v>173</v>
      </c>
      <c r="F135" s="93"/>
      <c r="G135" s="85">
        <v>100.0</v>
      </c>
      <c r="H135" s="93"/>
      <c r="I135" s="93"/>
      <c r="J135" s="93"/>
      <c r="K135" s="94"/>
      <c r="L135" s="95"/>
    </row>
    <row r="136" ht="21.0" customHeight="1">
      <c r="B136" s="74"/>
      <c r="C136" s="89" t="s">
        <v>145</v>
      </c>
      <c r="D136" s="96"/>
      <c r="E136" s="91"/>
      <c r="F136" s="93"/>
      <c r="G136" s="93"/>
      <c r="H136" s="93"/>
      <c r="I136" s="93"/>
      <c r="J136" s="93"/>
      <c r="K136" s="94"/>
      <c r="L136" s="95"/>
    </row>
    <row r="137" ht="21.0" customHeight="1">
      <c r="B137" s="74"/>
      <c r="C137" s="139" t="s">
        <v>146</v>
      </c>
      <c r="D137" s="96"/>
      <c r="E137" s="91"/>
      <c r="F137" s="93"/>
      <c r="G137" s="85">
        <v>170.0</v>
      </c>
      <c r="H137" s="93"/>
      <c r="I137" s="93"/>
      <c r="J137" s="93"/>
      <c r="K137" s="94"/>
      <c r="L137" s="95"/>
    </row>
    <row r="138" ht="21.0" customHeight="1">
      <c r="B138" s="74"/>
      <c r="C138" s="139" t="s">
        <v>174</v>
      </c>
      <c r="D138" s="96"/>
      <c r="E138" s="91"/>
      <c r="F138" s="93"/>
      <c r="G138" s="93"/>
      <c r="H138" s="93"/>
      <c r="I138" s="93"/>
      <c r="J138" s="93"/>
      <c r="K138" s="94"/>
      <c r="L138" s="95"/>
    </row>
    <row r="139" ht="21.0" customHeight="1">
      <c r="B139" s="74"/>
      <c r="C139" s="139" t="s">
        <v>148</v>
      </c>
      <c r="D139" s="96"/>
      <c r="E139" s="91"/>
      <c r="F139" s="93"/>
      <c r="G139" s="93"/>
      <c r="H139" s="93"/>
      <c r="I139" s="93"/>
      <c r="J139" s="93"/>
      <c r="K139" s="94"/>
      <c r="L139" s="95"/>
    </row>
    <row r="140" ht="21.0" customHeight="1">
      <c r="B140" s="74"/>
      <c r="C140" s="139" t="s">
        <v>149</v>
      </c>
      <c r="D140" s="90"/>
      <c r="E140" s="91"/>
      <c r="F140" s="93"/>
      <c r="G140" s="93"/>
      <c r="H140" s="93"/>
      <c r="I140" s="93"/>
      <c r="J140" s="93"/>
      <c r="K140" s="94"/>
      <c r="L140" s="95"/>
    </row>
    <row r="141" ht="21.0" customHeight="1">
      <c r="B141" s="74"/>
      <c r="C141" s="139" t="s">
        <v>150</v>
      </c>
      <c r="D141" s="140"/>
      <c r="E141" s="91"/>
      <c r="F141" s="93"/>
      <c r="G141" s="93"/>
      <c r="H141" s="93"/>
      <c r="I141" s="93"/>
      <c r="J141" s="93"/>
      <c r="K141" s="94"/>
      <c r="L141" s="95"/>
    </row>
    <row r="142" ht="21.0" customHeight="1">
      <c r="B142" s="74" t="s">
        <v>175</v>
      </c>
      <c r="C142" s="139"/>
      <c r="D142" s="140" t="s">
        <v>176</v>
      </c>
      <c r="E142" s="91"/>
      <c r="F142" s="93"/>
      <c r="G142" s="93"/>
      <c r="H142" s="93"/>
      <c r="I142" s="93"/>
      <c r="J142" s="93"/>
      <c r="K142" s="94"/>
      <c r="L142" s="95"/>
    </row>
    <row r="143" ht="21.0" customHeight="1">
      <c r="B143" s="74"/>
      <c r="C143" s="139"/>
      <c r="D143" s="140"/>
      <c r="E143" s="91"/>
      <c r="F143" s="93"/>
      <c r="G143" s="93"/>
      <c r="H143" s="93"/>
      <c r="I143" s="93"/>
      <c r="J143" s="93"/>
      <c r="K143" s="94"/>
      <c r="L143" s="95"/>
    </row>
    <row r="144" ht="21.0" customHeight="1">
      <c r="C144" s="99" t="s">
        <v>152</v>
      </c>
      <c r="D144" s="100"/>
      <c r="E144" s="101"/>
      <c r="F144" s="102">
        <v>1870.0</v>
      </c>
      <c r="G144" s="102">
        <v>250.0</v>
      </c>
      <c r="H144" s="103"/>
      <c r="I144" s="103"/>
      <c r="J144" s="103"/>
      <c r="K144" s="104"/>
      <c r="L144" s="95"/>
    </row>
    <row r="145" ht="21.0" customHeight="1">
      <c r="C145" s="105" t="s">
        <v>153</v>
      </c>
      <c r="D145" s="83"/>
      <c r="E145" s="106"/>
      <c r="F145" s="106">
        <f t="shared" ref="F145:K145" si="3">F130-F131-F132+F133+F134-F135-F137-F138-F139-F140-F141-F142-F143</f>
        <v>1870</v>
      </c>
      <c r="G145" s="106">
        <f t="shared" si="3"/>
        <v>250</v>
      </c>
      <c r="H145" s="106">
        <f t="shared" si="3"/>
        <v>0</v>
      </c>
      <c r="I145" s="106">
        <f t="shared" si="3"/>
        <v>0</v>
      </c>
      <c r="J145" s="106">
        <f t="shared" si="3"/>
        <v>0</v>
      </c>
      <c r="K145" s="106">
        <f t="shared" si="3"/>
        <v>0</v>
      </c>
      <c r="L145" s="95"/>
    </row>
    <row r="146" ht="21.0" customHeight="1">
      <c r="C146" s="107" t="s">
        <v>154</v>
      </c>
      <c r="D146" s="108"/>
      <c r="E146" s="109"/>
      <c r="F146" s="109">
        <f t="shared" ref="F146:K146" si="4">F144-F145</f>
        <v>0</v>
      </c>
      <c r="G146" s="109">
        <f t="shared" si="4"/>
        <v>0</v>
      </c>
      <c r="H146" s="109">
        <f t="shared" si="4"/>
        <v>0</v>
      </c>
      <c r="I146" s="109">
        <f t="shared" si="4"/>
        <v>0</v>
      </c>
      <c r="J146" s="109">
        <f t="shared" si="4"/>
        <v>0</v>
      </c>
      <c r="K146" s="110">
        <f t="shared" si="4"/>
        <v>0</v>
      </c>
      <c r="L146" s="111"/>
    </row>
    <row r="147" ht="21.0" customHeight="1">
      <c r="C147" s="112"/>
      <c r="D147" s="113"/>
      <c r="E147" s="113"/>
      <c r="F147" s="114"/>
      <c r="G147" s="114"/>
      <c r="H147" s="115" t="s">
        <v>155</v>
      </c>
      <c r="I147" s="6"/>
      <c r="J147" s="7"/>
      <c r="K147" s="116">
        <f>E146+F146+G146+H146+I146+J146+K146</f>
        <v>0</v>
      </c>
      <c r="L147" s="111"/>
    </row>
    <row r="148" ht="26.25" customHeight="1">
      <c r="C148" s="112"/>
      <c r="D148" s="113"/>
      <c r="E148" s="117"/>
      <c r="F148" s="114"/>
      <c r="G148" s="114"/>
      <c r="H148" s="118"/>
    </row>
    <row r="149" ht="26.25" customHeight="1">
      <c r="C149" s="74"/>
      <c r="E149" s="119" t="s">
        <v>156</v>
      </c>
      <c r="F149" s="77"/>
      <c r="G149" s="120">
        <f>J126</f>
        <v>2450</v>
      </c>
    </row>
    <row r="150" ht="30.75" customHeight="1">
      <c r="C150" s="74"/>
      <c r="E150" s="121" t="s">
        <v>157</v>
      </c>
      <c r="F150" s="122"/>
      <c r="G150" s="120">
        <f>E144+F144+G144+H144+I144+J144+K144</f>
        <v>2120</v>
      </c>
    </row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E1"/>
    <mergeCell ref="F1:M1"/>
    <mergeCell ref="C129:D129"/>
    <mergeCell ref="C130:D130"/>
    <mergeCell ref="C131:D131"/>
    <mergeCell ref="C132:D132"/>
    <mergeCell ref="C133:D133"/>
    <mergeCell ref="C144:D144"/>
    <mergeCell ref="C145:D145"/>
    <mergeCell ref="C146:D146"/>
    <mergeCell ref="H147:J147"/>
    <mergeCell ref="E149:F149"/>
    <mergeCell ref="E150:F150"/>
    <mergeCell ref="C134:D134"/>
    <mergeCell ref="C135:D135"/>
    <mergeCell ref="C136:D136"/>
    <mergeCell ref="C137:D137"/>
    <mergeCell ref="C138:D138"/>
    <mergeCell ref="C139:D139"/>
    <mergeCell ref="C140:D14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43"/>
    <col customWidth="1" min="2" max="2" width="50.57"/>
    <col customWidth="1" min="3" max="3" width="13.43"/>
    <col customWidth="1" min="4" max="4" width="14.57"/>
    <col customWidth="1" min="5" max="5" width="26.14"/>
    <col customWidth="1" min="6" max="6" width="21.14"/>
    <col customWidth="1" min="7" max="7" width="23.14"/>
    <col customWidth="1" min="8" max="8" width="24.43"/>
    <col customWidth="1" min="9" max="9" width="21.57"/>
    <col customWidth="1" min="10" max="10" width="19.57"/>
    <col customWidth="1" min="11" max="11" width="20.86"/>
    <col customWidth="1" min="12" max="12" width="24.57"/>
    <col customWidth="1" min="13" max="13" width="23.57"/>
  </cols>
  <sheetData>
    <row r="1" ht="27.75" customHeight="1">
      <c r="A1" s="1" t="s">
        <v>177</v>
      </c>
      <c r="B1" s="2"/>
      <c r="C1" s="2"/>
      <c r="D1" s="2"/>
      <c r="E1" s="3"/>
      <c r="F1" s="5"/>
      <c r="G1" s="6"/>
      <c r="H1" s="6"/>
      <c r="I1" s="6"/>
      <c r="J1" s="6"/>
      <c r="K1" s="6"/>
      <c r="L1" s="6"/>
      <c r="M1" s="7"/>
    </row>
    <row r="2" ht="42.0" customHeight="1">
      <c r="A2" s="8" t="s">
        <v>1</v>
      </c>
      <c r="B2" s="9" t="s">
        <v>2</v>
      </c>
      <c r="C2" s="10" t="s">
        <v>3</v>
      </c>
      <c r="D2" s="10" t="s">
        <v>4</v>
      </c>
      <c r="E2" s="11" t="s">
        <v>5</v>
      </c>
      <c r="F2" s="12" t="s">
        <v>6</v>
      </c>
      <c r="G2" s="12" t="s">
        <v>7</v>
      </c>
      <c r="H2" s="13" t="s">
        <v>8</v>
      </c>
      <c r="I2" s="14" t="s">
        <v>9</v>
      </c>
      <c r="J2" s="14" t="s">
        <v>10</v>
      </c>
      <c r="K2" s="14" t="s">
        <v>11</v>
      </c>
      <c r="L2" s="15" t="s">
        <v>12</v>
      </c>
      <c r="M2" s="16" t="s">
        <v>13</v>
      </c>
    </row>
    <row r="3" ht="21.0" customHeight="1">
      <c r="A3" s="17">
        <v>1.0</v>
      </c>
      <c r="B3" s="18" t="s">
        <v>14</v>
      </c>
      <c r="C3" s="19">
        <v>100.0</v>
      </c>
      <c r="D3" s="20">
        <v>40.0</v>
      </c>
      <c r="E3" s="21">
        <v>4.0</v>
      </c>
      <c r="F3" s="150">
        <v>26.0</v>
      </c>
      <c r="G3" s="20"/>
      <c r="H3" s="150">
        <v>24.0</v>
      </c>
      <c r="I3" s="23">
        <f t="shared" ref="I3:I124" si="1">E3+F3-G3-H3</f>
        <v>6</v>
      </c>
      <c r="J3" s="24">
        <f t="shared" ref="J3:J59" si="2">C3*I3</f>
        <v>600</v>
      </c>
      <c r="K3" s="25"/>
      <c r="L3" s="20"/>
      <c r="M3" s="26"/>
    </row>
    <row r="4" ht="21.0" customHeight="1">
      <c r="A4" s="27">
        <v>2.0</v>
      </c>
      <c r="B4" s="28" t="s">
        <v>15</v>
      </c>
      <c r="C4" s="29">
        <v>100.0</v>
      </c>
      <c r="D4" s="30">
        <v>40.0</v>
      </c>
      <c r="E4" s="123">
        <v>9.0</v>
      </c>
      <c r="F4" s="123">
        <v>24.0</v>
      </c>
      <c r="G4" s="124"/>
      <c r="H4" s="151">
        <v>30.0</v>
      </c>
      <c r="I4" s="33">
        <f t="shared" si="1"/>
        <v>3</v>
      </c>
      <c r="J4" s="126">
        <f t="shared" si="2"/>
        <v>300</v>
      </c>
      <c r="K4" s="127"/>
      <c r="L4" s="124"/>
      <c r="M4" s="128"/>
    </row>
    <row r="5" ht="21.0" customHeight="1">
      <c r="A5" s="17">
        <v>3.0</v>
      </c>
      <c r="B5" s="37" t="s">
        <v>16</v>
      </c>
      <c r="C5" s="38">
        <v>200.0</v>
      </c>
      <c r="D5" s="39">
        <v>20.0</v>
      </c>
      <c r="E5" s="40">
        <v>1.0</v>
      </c>
      <c r="F5" s="40">
        <v>9.0</v>
      </c>
      <c r="G5" s="39"/>
      <c r="H5" s="70">
        <v>7.0</v>
      </c>
      <c r="I5" s="23">
        <f t="shared" si="1"/>
        <v>3</v>
      </c>
      <c r="J5" s="24">
        <f t="shared" si="2"/>
        <v>600</v>
      </c>
      <c r="K5" s="25"/>
      <c r="L5" s="39"/>
      <c r="M5" s="42"/>
    </row>
    <row r="6" ht="21.0" customHeight="1">
      <c r="A6" s="27">
        <v>4.0</v>
      </c>
      <c r="B6" s="28" t="s">
        <v>17</v>
      </c>
      <c r="C6" s="29">
        <v>200.0</v>
      </c>
      <c r="D6" s="30">
        <v>20.0</v>
      </c>
      <c r="E6" s="123">
        <v>7.0</v>
      </c>
      <c r="F6" s="134"/>
      <c r="G6" s="124"/>
      <c r="H6" s="151">
        <v>6.0</v>
      </c>
      <c r="I6" s="33">
        <f t="shared" si="1"/>
        <v>1</v>
      </c>
      <c r="J6" s="126">
        <f t="shared" si="2"/>
        <v>200</v>
      </c>
      <c r="K6" s="127"/>
      <c r="L6" s="124"/>
      <c r="M6" s="128"/>
    </row>
    <row r="7" ht="21.0" customHeight="1">
      <c r="A7" s="17">
        <v>5.0</v>
      </c>
      <c r="B7" s="37" t="s">
        <v>18</v>
      </c>
      <c r="C7" s="38">
        <v>200.0</v>
      </c>
      <c r="D7" s="39">
        <v>20.0</v>
      </c>
      <c r="E7" s="40">
        <v>6.0</v>
      </c>
      <c r="F7" s="54"/>
      <c r="G7" s="39"/>
      <c r="H7" s="40">
        <v>6.0</v>
      </c>
      <c r="I7" s="23">
        <f t="shared" si="1"/>
        <v>0</v>
      </c>
      <c r="J7" s="24">
        <f t="shared" si="2"/>
        <v>0</v>
      </c>
      <c r="K7" s="25"/>
      <c r="L7" s="39"/>
      <c r="M7" s="42"/>
    </row>
    <row r="8" ht="21.0" customHeight="1">
      <c r="A8" s="27">
        <v>6.0</v>
      </c>
      <c r="B8" s="28" t="s">
        <v>19</v>
      </c>
      <c r="C8" s="29">
        <v>200.0</v>
      </c>
      <c r="D8" s="43">
        <v>15.0</v>
      </c>
      <c r="E8" s="129">
        <v>1.0</v>
      </c>
      <c r="F8" s="129">
        <v>5.0</v>
      </c>
      <c r="G8" s="130"/>
      <c r="H8" s="152">
        <v>4.0</v>
      </c>
      <c r="I8" s="33">
        <f t="shared" si="1"/>
        <v>2</v>
      </c>
      <c r="J8" s="126">
        <f t="shared" si="2"/>
        <v>400</v>
      </c>
      <c r="K8" s="127"/>
      <c r="L8" s="130"/>
      <c r="M8" s="132"/>
    </row>
    <row r="9" ht="21.0" customHeight="1">
      <c r="A9" s="17">
        <v>7.0</v>
      </c>
      <c r="B9" s="37" t="s">
        <v>20</v>
      </c>
      <c r="C9" s="38">
        <v>200.0</v>
      </c>
      <c r="D9" s="47">
        <v>12.0</v>
      </c>
      <c r="E9" s="48">
        <v>3.5</v>
      </c>
      <c r="F9" s="48">
        <v>1.5</v>
      </c>
      <c r="G9" s="47"/>
      <c r="H9" s="135">
        <v>4.0</v>
      </c>
      <c r="I9" s="23">
        <f t="shared" si="1"/>
        <v>1</v>
      </c>
      <c r="J9" s="24">
        <f t="shared" si="2"/>
        <v>200</v>
      </c>
      <c r="K9" s="25"/>
      <c r="L9" s="47"/>
      <c r="M9" s="50"/>
    </row>
    <row r="10" ht="21.0" customHeight="1">
      <c r="A10" s="27">
        <v>8.0</v>
      </c>
      <c r="B10" s="28" t="s">
        <v>21</v>
      </c>
      <c r="C10" s="29">
        <v>200.0</v>
      </c>
      <c r="D10" s="43">
        <v>8.0</v>
      </c>
      <c r="E10" s="129">
        <v>2.5</v>
      </c>
      <c r="F10" s="129">
        <v>3.5</v>
      </c>
      <c r="G10" s="130"/>
      <c r="H10" s="152">
        <v>6.0</v>
      </c>
      <c r="I10" s="33">
        <f t="shared" si="1"/>
        <v>0</v>
      </c>
      <c r="J10" s="126">
        <f t="shared" si="2"/>
        <v>0</v>
      </c>
      <c r="K10" s="127"/>
      <c r="L10" s="130"/>
      <c r="M10" s="132"/>
    </row>
    <row r="11" ht="21.0" customHeight="1">
      <c r="A11" s="17">
        <v>9.0</v>
      </c>
      <c r="B11" s="37" t="s">
        <v>22</v>
      </c>
      <c r="C11" s="38">
        <v>200.0</v>
      </c>
      <c r="D11" s="47">
        <v>5.0</v>
      </c>
      <c r="E11" s="48">
        <v>0.0</v>
      </c>
      <c r="F11" s="51"/>
      <c r="G11" s="47"/>
      <c r="H11" s="48">
        <v>0.0</v>
      </c>
      <c r="I11" s="23">
        <f t="shared" si="1"/>
        <v>0</v>
      </c>
      <c r="J11" s="24">
        <f t="shared" si="2"/>
        <v>0</v>
      </c>
      <c r="K11" s="25"/>
      <c r="L11" s="47"/>
      <c r="M11" s="50"/>
    </row>
    <row r="12" ht="21.0" customHeight="1">
      <c r="A12" s="27">
        <v>10.0</v>
      </c>
      <c r="B12" s="28" t="s">
        <v>23</v>
      </c>
      <c r="C12" s="29">
        <v>200.0</v>
      </c>
      <c r="D12" s="43">
        <v>5.0</v>
      </c>
      <c r="E12" s="129">
        <v>0.0</v>
      </c>
      <c r="F12" s="133"/>
      <c r="G12" s="130"/>
      <c r="H12" s="129">
        <v>0.0</v>
      </c>
      <c r="I12" s="33">
        <f t="shared" si="1"/>
        <v>0</v>
      </c>
      <c r="J12" s="126">
        <f t="shared" si="2"/>
        <v>0</v>
      </c>
      <c r="K12" s="127"/>
      <c r="L12" s="130"/>
      <c r="M12" s="132"/>
    </row>
    <row r="13" ht="21.0" customHeight="1">
      <c r="A13" s="17">
        <v>11.0</v>
      </c>
      <c r="B13" s="37" t="s">
        <v>24</v>
      </c>
      <c r="C13" s="38">
        <v>300.0</v>
      </c>
      <c r="D13" s="47">
        <v>10.0</v>
      </c>
      <c r="E13" s="48">
        <v>0.0</v>
      </c>
      <c r="F13" s="48">
        <v>7.0</v>
      </c>
      <c r="G13" s="47"/>
      <c r="H13" s="135">
        <v>7.0</v>
      </c>
      <c r="I13" s="23">
        <f t="shared" si="1"/>
        <v>0</v>
      </c>
      <c r="J13" s="24">
        <f t="shared" si="2"/>
        <v>0</v>
      </c>
      <c r="K13" s="25"/>
      <c r="L13" s="47"/>
      <c r="M13" s="50"/>
    </row>
    <row r="14" ht="21.0" customHeight="1">
      <c r="A14" s="27">
        <v>12.0</v>
      </c>
      <c r="B14" s="28" t="s">
        <v>25</v>
      </c>
      <c r="C14" s="29">
        <v>300.0</v>
      </c>
      <c r="D14" s="43">
        <v>2.0</v>
      </c>
      <c r="E14" s="129">
        <v>0.5</v>
      </c>
      <c r="F14" s="133"/>
      <c r="G14" s="130"/>
      <c r="H14" s="129">
        <v>0.5</v>
      </c>
      <c r="I14" s="33">
        <f t="shared" si="1"/>
        <v>0</v>
      </c>
      <c r="J14" s="126">
        <f t="shared" si="2"/>
        <v>0</v>
      </c>
      <c r="K14" s="127"/>
      <c r="L14" s="130"/>
      <c r="M14" s="132"/>
    </row>
    <row r="15" ht="21.0" customHeight="1">
      <c r="A15" s="17">
        <v>13.0</v>
      </c>
      <c r="B15" s="37" t="s">
        <v>26</v>
      </c>
      <c r="C15" s="38">
        <v>200.0</v>
      </c>
      <c r="D15" s="47">
        <v>5.0</v>
      </c>
      <c r="E15" s="48">
        <v>0.0</v>
      </c>
      <c r="F15" s="51"/>
      <c r="G15" s="47"/>
      <c r="H15" s="48">
        <v>0.0</v>
      </c>
      <c r="I15" s="23">
        <f t="shared" si="1"/>
        <v>0</v>
      </c>
      <c r="J15" s="24">
        <f t="shared" si="2"/>
        <v>0</v>
      </c>
      <c r="K15" s="25"/>
      <c r="L15" s="47"/>
      <c r="M15" s="50"/>
    </row>
    <row r="16" ht="21.0" customHeight="1">
      <c r="A16" s="27">
        <v>14.0</v>
      </c>
      <c r="B16" s="28" t="s">
        <v>27</v>
      </c>
      <c r="C16" s="29">
        <v>300.0</v>
      </c>
      <c r="D16" s="43">
        <v>1.5</v>
      </c>
      <c r="E16" s="129">
        <v>0.5</v>
      </c>
      <c r="F16" s="133"/>
      <c r="G16" s="130"/>
      <c r="H16" s="129">
        <v>0.5</v>
      </c>
      <c r="I16" s="33">
        <f t="shared" si="1"/>
        <v>0</v>
      </c>
      <c r="J16" s="126">
        <f t="shared" si="2"/>
        <v>0</v>
      </c>
      <c r="K16" s="127"/>
      <c r="L16" s="130"/>
      <c r="M16" s="132"/>
    </row>
    <row r="17" ht="21.0" customHeight="1">
      <c r="A17" s="17">
        <v>15.0</v>
      </c>
      <c r="B17" s="37" t="s">
        <v>28</v>
      </c>
      <c r="C17" s="38">
        <v>300.0</v>
      </c>
      <c r="D17" s="47">
        <v>1.5</v>
      </c>
      <c r="E17" s="129">
        <v>0.5</v>
      </c>
      <c r="F17" s="51"/>
      <c r="G17" s="47"/>
      <c r="H17" s="129">
        <v>0.5</v>
      </c>
      <c r="I17" s="23">
        <f t="shared" si="1"/>
        <v>0</v>
      </c>
      <c r="J17" s="24">
        <f t="shared" si="2"/>
        <v>0</v>
      </c>
      <c r="K17" s="25"/>
      <c r="L17" s="47"/>
      <c r="M17" s="50"/>
    </row>
    <row r="18" ht="21.0" customHeight="1">
      <c r="A18" s="27">
        <v>16.0</v>
      </c>
      <c r="B18" s="28" t="s">
        <v>29</v>
      </c>
      <c r="C18" s="29">
        <v>300.0</v>
      </c>
      <c r="D18" s="43">
        <v>1.5</v>
      </c>
      <c r="E18" s="129">
        <v>0.0</v>
      </c>
      <c r="F18" s="129">
        <v>0.5</v>
      </c>
      <c r="G18" s="130"/>
      <c r="H18" s="152">
        <v>0.5</v>
      </c>
      <c r="I18" s="33">
        <f t="shared" si="1"/>
        <v>0</v>
      </c>
      <c r="J18" s="126">
        <f t="shared" si="2"/>
        <v>0</v>
      </c>
      <c r="K18" s="127"/>
      <c r="L18" s="130"/>
      <c r="M18" s="132"/>
    </row>
    <row r="19" ht="21.0" customHeight="1">
      <c r="A19" s="17">
        <v>17.0</v>
      </c>
      <c r="B19" s="37" t="s">
        <v>30</v>
      </c>
      <c r="C19" s="38">
        <v>300.0</v>
      </c>
      <c r="D19" s="47">
        <v>1.0</v>
      </c>
      <c r="E19" s="129">
        <v>0.5</v>
      </c>
      <c r="F19" s="51"/>
      <c r="G19" s="47"/>
      <c r="H19" s="129">
        <v>0.5</v>
      </c>
      <c r="I19" s="23">
        <f t="shared" si="1"/>
        <v>0</v>
      </c>
      <c r="J19" s="24">
        <f t="shared" si="2"/>
        <v>0</v>
      </c>
      <c r="K19" s="25"/>
      <c r="L19" s="47"/>
      <c r="M19" s="50"/>
    </row>
    <row r="20" ht="21.0" customHeight="1">
      <c r="A20" s="27">
        <v>18.0</v>
      </c>
      <c r="B20" s="28" t="s">
        <v>31</v>
      </c>
      <c r="C20" s="29">
        <v>100.0</v>
      </c>
      <c r="D20" s="30">
        <v>20.0</v>
      </c>
      <c r="E20" s="123">
        <v>0.0</v>
      </c>
      <c r="F20" s="123"/>
      <c r="G20" s="124"/>
      <c r="H20" s="151">
        <v>0.0</v>
      </c>
      <c r="I20" s="33">
        <f t="shared" si="1"/>
        <v>0</v>
      </c>
      <c r="J20" s="126">
        <f t="shared" si="2"/>
        <v>0</v>
      </c>
      <c r="K20" s="127"/>
      <c r="L20" s="124"/>
      <c r="M20" s="128"/>
    </row>
    <row r="21" ht="21.0" customHeight="1">
      <c r="A21" s="17">
        <v>19.0</v>
      </c>
      <c r="B21" s="37" t="s">
        <v>32</v>
      </c>
      <c r="C21" s="38">
        <v>100.0</v>
      </c>
      <c r="D21" s="39">
        <v>20.0</v>
      </c>
      <c r="E21" s="40">
        <v>13.0</v>
      </c>
      <c r="F21" s="54"/>
      <c r="G21" s="39"/>
      <c r="H21" s="40">
        <v>13.0</v>
      </c>
      <c r="I21" s="23">
        <f t="shared" si="1"/>
        <v>0</v>
      </c>
      <c r="J21" s="24">
        <f t="shared" si="2"/>
        <v>0</v>
      </c>
      <c r="K21" s="25"/>
      <c r="L21" s="39"/>
      <c r="M21" s="42"/>
    </row>
    <row r="22" ht="21.0" customHeight="1">
      <c r="A22" s="27">
        <v>20.0</v>
      </c>
      <c r="B22" s="28" t="s">
        <v>33</v>
      </c>
      <c r="C22" s="29">
        <v>100.0</v>
      </c>
      <c r="D22" s="30">
        <v>20.0</v>
      </c>
      <c r="E22" s="123">
        <v>5.0</v>
      </c>
      <c r="F22" s="123">
        <v>5.0</v>
      </c>
      <c r="G22" s="124"/>
      <c r="H22" s="151">
        <v>10.0</v>
      </c>
      <c r="I22" s="33">
        <f t="shared" si="1"/>
        <v>0</v>
      </c>
      <c r="J22" s="126">
        <f t="shared" si="2"/>
        <v>0</v>
      </c>
      <c r="K22" s="127"/>
      <c r="L22" s="124"/>
      <c r="M22" s="128"/>
    </row>
    <row r="23" ht="21.0" customHeight="1">
      <c r="A23" s="17">
        <v>21.0</v>
      </c>
      <c r="B23" s="37" t="s">
        <v>34</v>
      </c>
      <c r="C23" s="38">
        <v>100.0</v>
      </c>
      <c r="D23" s="39">
        <v>20.0</v>
      </c>
      <c r="E23" s="40">
        <v>2.0</v>
      </c>
      <c r="F23" s="40">
        <v>13.0</v>
      </c>
      <c r="G23" s="39"/>
      <c r="H23" s="70">
        <v>14.0</v>
      </c>
      <c r="I23" s="23">
        <f t="shared" si="1"/>
        <v>1</v>
      </c>
      <c r="J23" s="24">
        <f t="shared" si="2"/>
        <v>100</v>
      </c>
      <c r="K23" s="25"/>
      <c r="L23" s="39"/>
      <c r="M23" s="42"/>
    </row>
    <row r="24" ht="21.0" customHeight="1">
      <c r="A24" s="27">
        <v>22.0</v>
      </c>
      <c r="B24" s="28" t="s">
        <v>35</v>
      </c>
      <c r="C24" s="29">
        <v>100.0</v>
      </c>
      <c r="D24" s="30">
        <v>15.0</v>
      </c>
      <c r="E24" s="123">
        <v>4.0</v>
      </c>
      <c r="F24" s="123">
        <v>6.0</v>
      </c>
      <c r="G24" s="124"/>
      <c r="H24" s="151">
        <v>10.0</v>
      </c>
      <c r="I24" s="33">
        <f t="shared" si="1"/>
        <v>0</v>
      </c>
      <c r="J24" s="126">
        <f t="shared" si="2"/>
        <v>0</v>
      </c>
      <c r="K24" s="127"/>
      <c r="L24" s="124"/>
      <c r="M24" s="128"/>
    </row>
    <row r="25" ht="21.0" customHeight="1">
      <c r="A25" s="17">
        <v>23.0</v>
      </c>
      <c r="B25" s="37" t="s">
        <v>36</v>
      </c>
      <c r="C25" s="38">
        <v>150.0</v>
      </c>
      <c r="D25" s="39">
        <v>3.0</v>
      </c>
      <c r="E25" s="40">
        <v>2.0</v>
      </c>
      <c r="F25" s="54"/>
      <c r="G25" s="39"/>
      <c r="H25" s="40">
        <v>2.0</v>
      </c>
      <c r="I25" s="23">
        <f t="shared" si="1"/>
        <v>0</v>
      </c>
      <c r="J25" s="24">
        <f t="shared" si="2"/>
        <v>0</v>
      </c>
      <c r="K25" s="25"/>
      <c r="L25" s="39"/>
      <c r="M25" s="42"/>
    </row>
    <row r="26" ht="21.0" customHeight="1">
      <c r="A26" s="27">
        <v>24.0</v>
      </c>
      <c r="B26" s="28" t="s">
        <v>37</v>
      </c>
      <c r="C26" s="29">
        <v>100.0</v>
      </c>
      <c r="D26" s="30">
        <v>15.0</v>
      </c>
      <c r="E26" s="123">
        <v>6.0</v>
      </c>
      <c r="F26" s="134"/>
      <c r="G26" s="124"/>
      <c r="H26" s="151">
        <v>5.0</v>
      </c>
      <c r="I26" s="33">
        <f t="shared" si="1"/>
        <v>1</v>
      </c>
      <c r="J26" s="126">
        <f t="shared" si="2"/>
        <v>100</v>
      </c>
      <c r="K26" s="127"/>
      <c r="L26" s="124"/>
      <c r="M26" s="128"/>
    </row>
    <row r="27" ht="21.0" customHeight="1">
      <c r="A27" s="17">
        <v>25.0</v>
      </c>
      <c r="B27" s="37" t="s">
        <v>38</v>
      </c>
      <c r="C27" s="38">
        <v>100.0</v>
      </c>
      <c r="D27" s="39">
        <v>15.0</v>
      </c>
      <c r="E27" s="40">
        <v>3.0</v>
      </c>
      <c r="F27" s="40">
        <v>2.0</v>
      </c>
      <c r="G27" s="39"/>
      <c r="H27" s="70">
        <v>5.0</v>
      </c>
      <c r="I27" s="23">
        <f t="shared" si="1"/>
        <v>0</v>
      </c>
      <c r="J27" s="24">
        <f t="shared" si="2"/>
        <v>0</v>
      </c>
      <c r="K27" s="25"/>
      <c r="L27" s="39"/>
      <c r="M27" s="42"/>
    </row>
    <row r="28" ht="21.0" customHeight="1">
      <c r="A28" s="27">
        <v>26.0</v>
      </c>
      <c r="B28" s="28" t="s">
        <v>39</v>
      </c>
      <c r="C28" s="29">
        <v>100.0</v>
      </c>
      <c r="D28" s="30">
        <v>15.0</v>
      </c>
      <c r="E28" s="123">
        <v>4.0</v>
      </c>
      <c r="F28" s="134"/>
      <c r="G28" s="124"/>
      <c r="H28" s="123">
        <v>4.0</v>
      </c>
      <c r="I28" s="33">
        <f t="shared" si="1"/>
        <v>0</v>
      </c>
      <c r="J28" s="126">
        <f t="shared" si="2"/>
        <v>0</v>
      </c>
      <c r="K28" s="127"/>
      <c r="L28" s="124"/>
      <c r="M28" s="128"/>
    </row>
    <row r="29" ht="21.0" customHeight="1">
      <c r="A29" s="17">
        <v>27.0</v>
      </c>
      <c r="B29" s="37" t="s">
        <v>40</v>
      </c>
      <c r="C29" s="38">
        <v>100.0</v>
      </c>
      <c r="D29" s="39">
        <v>6.0</v>
      </c>
      <c r="E29" s="40">
        <v>3.0</v>
      </c>
      <c r="F29" s="54"/>
      <c r="G29" s="39"/>
      <c r="H29" s="40">
        <v>3.0</v>
      </c>
      <c r="I29" s="23">
        <f t="shared" si="1"/>
        <v>0</v>
      </c>
      <c r="J29" s="24">
        <f t="shared" si="2"/>
        <v>0</v>
      </c>
      <c r="K29" s="25"/>
      <c r="L29" s="39"/>
      <c r="M29" s="42"/>
    </row>
    <row r="30" ht="21.0" customHeight="1">
      <c r="A30" s="27">
        <v>28.0</v>
      </c>
      <c r="B30" s="28" t="s">
        <v>41</v>
      </c>
      <c r="C30" s="29">
        <v>100.0</v>
      </c>
      <c r="D30" s="30">
        <v>8.0</v>
      </c>
      <c r="E30" s="123">
        <v>5.0</v>
      </c>
      <c r="F30" s="134"/>
      <c r="G30" s="124"/>
      <c r="H30" s="151">
        <v>4.0</v>
      </c>
      <c r="I30" s="33">
        <f t="shared" si="1"/>
        <v>1</v>
      </c>
      <c r="J30" s="126">
        <f t="shared" si="2"/>
        <v>100</v>
      </c>
      <c r="K30" s="127"/>
      <c r="L30" s="124"/>
      <c r="M30" s="128"/>
    </row>
    <row r="31" ht="21.0" customHeight="1">
      <c r="A31" s="17">
        <v>29.0</v>
      </c>
      <c r="B31" s="37" t="s">
        <v>42</v>
      </c>
      <c r="C31" s="38">
        <v>100.0</v>
      </c>
      <c r="D31" s="39">
        <v>10.0</v>
      </c>
      <c r="E31" s="40">
        <v>5.0</v>
      </c>
      <c r="F31" s="54"/>
      <c r="G31" s="39"/>
      <c r="H31" s="40">
        <v>5.0</v>
      </c>
      <c r="I31" s="23">
        <f t="shared" si="1"/>
        <v>0</v>
      </c>
      <c r="J31" s="24">
        <f t="shared" si="2"/>
        <v>0</v>
      </c>
      <c r="K31" s="25"/>
      <c r="L31" s="39"/>
      <c r="M31" s="42"/>
    </row>
    <row r="32" ht="21.0" customHeight="1">
      <c r="A32" s="27">
        <v>30.0</v>
      </c>
      <c r="B32" s="28" t="s">
        <v>43</v>
      </c>
      <c r="C32" s="29">
        <v>100.0</v>
      </c>
      <c r="D32" s="30">
        <v>10.0</v>
      </c>
      <c r="E32" s="151">
        <v>2.0</v>
      </c>
      <c r="F32" s="123">
        <v>3.0</v>
      </c>
      <c r="G32" s="124"/>
      <c r="H32" s="151">
        <v>5.0</v>
      </c>
      <c r="I32" s="33">
        <f t="shared" si="1"/>
        <v>0</v>
      </c>
      <c r="J32" s="126">
        <f t="shared" si="2"/>
        <v>0</v>
      </c>
      <c r="K32" s="127"/>
      <c r="L32" s="124"/>
      <c r="M32" s="128"/>
    </row>
    <row r="33" ht="21.0" customHeight="1">
      <c r="A33" s="17">
        <v>31.0</v>
      </c>
      <c r="B33" s="37" t="s">
        <v>44</v>
      </c>
      <c r="C33" s="38">
        <v>200.0</v>
      </c>
      <c r="D33" s="39">
        <v>2.0</v>
      </c>
      <c r="E33" s="40">
        <v>2.0</v>
      </c>
      <c r="F33" s="54"/>
      <c r="G33" s="39"/>
      <c r="H33" s="40">
        <v>2.0</v>
      </c>
      <c r="I33" s="23">
        <f t="shared" si="1"/>
        <v>0</v>
      </c>
      <c r="J33" s="24">
        <f t="shared" si="2"/>
        <v>0</v>
      </c>
      <c r="K33" s="25"/>
      <c r="L33" s="39"/>
      <c r="M33" s="42"/>
    </row>
    <row r="34" ht="21.0" customHeight="1">
      <c r="A34" s="27">
        <v>32.0</v>
      </c>
      <c r="B34" s="28" t="s">
        <v>45</v>
      </c>
      <c r="C34" s="29">
        <v>150.0</v>
      </c>
      <c r="D34" s="30">
        <v>6.0</v>
      </c>
      <c r="E34" s="123">
        <v>2.0</v>
      </c>
      <c r="F34" s="134"/>
      <c r="G34" s="124"/>
      <c r="H34" s="123">
        <v>2.0</v>
      </c>
      <c r="I34" s="33">
        <f t="shared" si="1"/>
        <v>0</v>
      </c>
      <c r="J34" s="126">
        <f t="shared" si="2"/>
        <v>0</v>
      </c>
      <c r="K34" s="127"/>
      <c r="L34" s="124"/>
      <c r="M34" s="128"/>
    </row>
    <row r="35" ht="21.0" customHeight="1">
      <c r="A35" s="17">
        <v>33.0</v>
      </c>
      <c r="B35" s="37" t="s">
        <v>46</v>
      </c>
      <c r="C35" s="38">
        <v>100.0</v>
      </c>
      <c r="D35" s="39">
        <v>12.0</v>
      </c>
      <c r="E35" s="40">
        <v>2.0</v>
      </c>
      <c r="F35" s="40">
        <v>3.0</v>
      </c>
      <c r="G35" s="39"/>
      <c r="H35" s="70">
        <v>4.0</v>
      </c>
      <c r="I35" s="23">
        <f t="shared" si="1"/>
        <v>1</v>
      </c>
      <c r="J35" s="24">
        <f t="shared" si="2"/>
        <v>100</v>
      </c>
      <c r="K35" s="25"/>
      <c r="L35" s="39"/>
      <c r="M35" s="42"/>
    </row>
    <row r="36" ht="21.0" customHeight="1">
      <c r="A36" s="27">
        <v>34.0</v>
      </c>
      <c r="B36" s="28" t="s">
        <v>47</v>
      </c>
      <c r="C36" s="29">
        <v>150.0</v>
      </c>
      <c r="D36" s="30">
        <v>12.0</v>
      </c>
      <c r="E36" s="123">
        <v>3.0</v>
      </c>
      <c r="F36" s="123">
        <v>2.0</v>
      </c>
      <c r="G36" s="124"/>
      <c r="H36" s="151">
        <v>4.0</v>
      </c>
      <c r="I36" s="33">
        <f t="shared" si="1"/>
        <v>1</v>
      </c>
      <c r="J36" s="126">
        <f t="shared" si="2"/>
        <v>150</v>
      </c>
      <c r="K36" s="127"/>
      <c r="L36" s="124"/>
      <c r="M36" s="128"/>
    </row>
    <row r="37" ht="21.0" customHeight="1">
      <c r="A37" s="17">
        <v>35.0</v>
      </c>
      <c r="B37" s="37" t="s">
        <v>48</v>
      </c>
      <c r="C37" s="38">
        <v>250.0</v>
      </c>
      <c r="D37" s="39">
        <v>10.0</v>
      </c>
      <c r="E37" s="40">
        <v>0.0</v>
      </c>
      <c r="F37" s="123">
        <v>5.0</v>
      </c>
      <c r="G37" s="41"/>
      <c r="H37" s="70">
        <v>4.0</v>
      </c>
      <c r="I37" s="23">
        <f t="shared" si="1"/>
        <v>1</v>
      </c>
      <c r="J37" s="24">
        <f t="shared" si="2"/>
        <v>250</v>
      </c>
      <c r="K37" s="25"/>
      <c r="L37" s="39"/>
      <c r="M37" s="42"/>
    </row>
    <row r="38" ht="21.0" customHeight="1">
      <c r="A38" s="27">
        <v>36.0</v>
      </c>
      <c r="B38" s="28" t="s">
        <v>49</v>
      </c>
      <c r="C38" s="29">
        <v>150.0</v>
      </c>
      <c r="D38" s="30">
        <v>3.0</v>
      </c>
      <c r="E38" s="123">
        <v>4.0</v>
      </c>
      <c r="F38" s="134"/>
      <c r="G38" s="124"/>
      <c r="H38" s="123">
        <v>4.0</v>
      </c>
      <c r="I38" s="33">
        <f t="shared" si="1"/>
        <v>0</v>
      </c>
      <c r="J38" s="126">
        <f t="shared" si="2"/>
        <v>0</v>
      </c>
      <c r="K38" s="127"/>
      <c r="L38" s="124"/>
      <c r="M38" s="128"/>
    </row>
    <row r="39" ht="21.0" customHeight="1">
      <c r="A39" s="17">
        <v>37.0</v>
      </c>
      <c r="B39" s="37" t="s">
        <v>50</v>
      </c>
      <c r="C39" s="38">
        <v>150.0</v>
      </c>
      <c r="D39" s="39">
        <v>3.0</v>
      </c>
      <c r="E39" s="40">
        <v>0.0</v>
      </c>
      <c r="F39" s="40">
        <v>4.0</v>
      </c>
      <c r="G39" s="39"/>
      <c r="H39" s="70">
        <v>2.0</v>
      </c>
      <c r="I39" s="23">
        <f t="shared" si="1"/>
        <v>2</v>
      </c>
      <c r="J39" s="24">
        <f t="shared" si="2"/>
        <v>300</v>
      </c>
      <c r="K39" s="25"/>
      <c r="L39" s="39"/>
      <c r="M39" s="42"/>
    </row>
    <row r="40" ht="21.0" customHeight="1">
      <c r="A40" s="27">
        <v>38.0</v>
      </c>
      <c r="B40" s="28" t="s">
        <v>51</v>
      </c>
      <c r="C40" s="29">
        <v>150.0</v>
      </c>
      <c r="D40" s="30">
        <v>5.0</v>
      </c>
      <c r="E40" s="123">
        <v>2.0</v>
      </c>
      <c r="F40" s="134"/>
      <c r="G40" s="124"/>
      <c r="H40" s="123">
        <v>2.0</v>
      </c>
      <c r="I40" s="33">
        <f t="shared" si="1"/>
        <v>0</v>
      </c>
      <c r="J40" s="126">
        <f t="shared" si="2"/>
        <v>0</v>
      </c>
      <c r="K40" s="127"/>
      <c r="L40" s="124"/>
      <c r="M40" s="128"/>
    </row>
    <row r="41" ht="21.0" customHeight="1">
      <c r="A41" s="17">
        <v>39.0</v>
      </c>
      <c r="B41" s="37" t="s">
        <v>52</v>
      </c>
      <c r="C41" s="38">
        <v>150.0</v>
      </c>
      <c r="D41" s="39">
        <v>6.0</v>
      </c>
      <c r="E41" s="40">
        <v>4.0</v>
      </c>
      <c r="F41" s="54"/>
      <c r="G41" s="39"/>
      <c r="H41" s="40">
        <v>4.0</v>
      </c>
      <c r="I41" s="23">
        <f t="shared" si="1"/>
        <v>0</v>
      </c>
      <c r="J41" s="24">
        <f t="shared" si="2"/>
        <v>0</v>
      </c>
      <c r="K41" s="25"/>
      <c r="L41" s="39"/>
      <c r="M41" s="42"/>
    </row>
    <row r="42" ht="21.0" customHeight="1">
      <c r="A42" s="27">
        <v>40.0</v>
      </c>
      <c r="B42" s="28" t="s">
        <v>53</v>
      </c>
      <c r="C42" s="29">
        <v>150.0</v>
      </c>
      <c r="D42" s="30">
        <v>2.0</v>
      </c>
      <c r="E42" s="123">
        <v>1.0</v>
      </c>
      <c r="F42" s="134"/>
      <c r="G42" s="124"/>
      <c r="H42" s="123">
        <v>1.0</v>
      </c>
      <c r="I42" s="33">
        <f t="shared" si="1"/>
        <v>0</v>
      </c>
      <c r="J42" s="126">
        <f t="shared" si="2"/>
        <v>0</v>
      </c>
      <c r="K42" s="127"/>
      <c r="L42" s="124"/>
      <c r="M42" s="128"/>
    </row>
    <row r="43" ht="21.0" customHeight="1">
      <c r="A43" s="17">
        <v>41.0</v>
      </c>
      <c r="B43" s="37" t="s">
        <v>54</v>
      </c>
      <c r="C43" s="38">
        <v>200.0</v>
      </c>
      <c r="D43" s="39">
        <v>10.0</v>
      </c>
      <c r="E43" s="40">
        <v>1.0</v>
      </c>
      <c r="F43" s="54"/>
      <c r="G43" s="39"/>
      <c r="H43" s="40">
        <v>1.0</v>
      </c>
      <c r="I43" s="23">
        <f t="shared" si="1"/>
        <v>0</v>
      </c>
      <c r="J43" s="24">
        <f t="shared" si="2"/>
        <v>0</v>
      </c>
      <c r="K43" s="25"/>
      <c r="L43" s="39"/>
      <c r="M43" s="42"/>
    </row>
    <row r="44" ht="21.0" customHeight="1">
      <c r="A44" s="27">
        <v>42.0</v>
      </c>
      <c r="B44" s="28" t="s">
        <v>55</v>
      </c>
      <c r="C44" s="29">
        <v>150.0</v>
      </c>
      <c r="D44" s="30">
        <v>10.0</v>
      </c>
      <c r="E44" s="123">
        <v>5.0</v>
      </c>
      <c r="F44" s="134"/>
      <c r="G44" s="124"/>
      <c r="H44" s="123">
        <v>5.0</v>
      </c>
      <c r="I44" s="33">
        <f t="shared" si="1"/>
        <v>0</v>
      </c>
      <c r="J44" s="126">
        <f t="shared" si="2"/>
        <v>0</v>
      </c>
      <c r="K44" s="127"/>
      <c r="L44" s="124"/>
      <c r="M44" s="128"/>
    </row>
    <row r="45" ht="21.0" customHeight="1">
      <c r="A45" s="17">
        <v>43.0</v>
      </c>
      <c r="B45" s="37" t="s">
        <v>56</v>
      </c>
      <c r="C45" s="38">
        <v>200.0</v>
      </c>
      <c r="D45" s="39">
        <v>4.0</v>
      </c>
      <c r="E45" s="40">
        <v>0.0</v>
      </c>
      <c r="F45" s="54"/>
      <c r="G45" s="39"/>
      <c r="H45" s="40">
        <v>0.0</v>
      </c>
      <c r="I45" s="23">
        <f t="shared" si="1"/>
        <v>0</v>
      </c>
      <c r="J45" s="24">
        <f t="shared" si="2"/>
        <v>0</v>
      </c>
      <c r="K45" s="25"/>
      <c r="L45" s="39"/>
      <c r="M45" s="42"/>
    </row>
    <row r="46" ht="21.0" customHeight="1">
      <c r="A46" s="27">
        <v>44.0</v>
      </c>
      <c r="B46" s="28" t="s">
        <v>57</v>
      </c>
      <c r="C46" s="29">
        <v>200.0</v>
      </c>
      <c r="D46" s="30">
        <v>4.0</v>
      </c>
      <c r="E46" s="123">
        <v>0.0</v>
      </c>
      <c r="F46" s="134"/>
      <c r="G46" s="124"/>
      <c r="H46" s="123">
        <v>0.0</v>
      </c>
      <c r="I46" s="33">
        <f t="shared" si="1"/>
        <v>0</v>
      </c>
      <c r="J46" s="126">
        <f t="shared" si="2"/>
        <v>0</v>
      </c>
      <c r="K46" s="127"/>
      <c r="L46" s="124"/>
      <c r="M46" s="128"/>
    </row>
    <row r="47" ht="21.0" customHeight="1">
      <c r="A47" s="17">
        <v>45.0</v>
      </c>
      <c r="B47" s="37" t="s">
        <v>58</v>
      </c>
      <c r="C47" s="38">
        <v>150.0</v>
      </c>
      <c r="D47" s="39">
        <v>7.0</v>
      </c>
      <c r="E47" s="40">
        <v>0.0</v>
      </c>
      <c r="F47" s="40">
        <v>1.0</v>
      </c>
      <c r="G47" s="39"/>
      <c r="H47" s="70">
        <v>1.0</v>
      </c>
      <c r="I47" s="23">
        <f t="shared" si="1"/>
        <v>0</v>
      </c>
      <c r="J47" s="24">
        <f t="shared" si="2"/>
        <v>0</v>
      </c>
      <c r="K47" s="25"/>
      <c r="L47" s="39"/>
      <c r="M47" s="42"/>
    </row>
    <row r="48" ht="21.0" customHeight="1">
      <c r="A48" s="27">
        <v>46.0</v>
      </c>
      <c r="B48" s="28" t="s">
        <v>59</v>
      </c>
      <c r="C48" s="29">
        <v>100.0</v>
      </c>
      <c r="D48" s="30">
        <v>8.0</v>
      </c>
      <c r="E48" s="123">
        <v>3.0</v>
      </c>
      <c r="F48" s="123">
        <v>7.0</v>
      </c>
      <c r="G48" s="124"/>
      <c r="H48" s="151">
        <v>10.0</v>
      </c>
      <c r="I48" s="33">
        <f t="shared" si="1"/>
        <v>0</v>
      </c>
      <c r="J48" s="126">
        <f t="shared" si="2"/>
        <v>0</v>
      </c>
      <c r="K48" s="127"/>
      <c r="L48" s="124"/>
      <c r="M48" s="128"/>
    </row>
    <row r="49" ht="21.0" customHeight="1">
      <c r="A49" s="17">
        <v>47.0</v>
      </c>
      <c r="B49" s="37" t="s">
        <v>60</v>
      </c>
      <c r="C49" s="38">
        <v>100.0</v>
      </c>
      <c r="D49" s="39">
        <v>8.0</v>
      </c>
      <c r="E49" s="40">
        <v>0.0</v>
      </c>
      <c r="F49" s="54"/>
      <c r="G49" s="39"/>
      <c r="H49" s="40">
        <v>0.0</v>
      </c>
      <c r="I49" s="23">
        <f t="shared" si="1"/>
        <v>0</v>
      </c>
      <c r="J49" s="24">
        <f t="shared" si="2"/>
        <v>0</v>
      </c>
      <c r="K49" s="25"/>
      <c r="L49" s="39"/>
      <c r="M49" s="42"/>
    </row>
    <row r="50" ht="21.0" customHeight="1">
      <c r="A50" s="27">
        <v>48.0</v>
      </c>
      <c r="B50" s="28" t="s">
        <v>61</v>
      </c>
      <c r="C50" s="29">
        <v>150.0</v>
      </c>
      <c r="D50" s="30">
        <v>6.0</v>
      </c>
      <c r="E50" s="123">
        <v>2.0</v>
      </c>
      <c r="F50" s="134"/>
      <c r="G50" s="124"/>
      <c r="H50" s="123">
        <v>2.0</v>
      </c>
      <c r="I50" s="33">
        <f t="shared" si="1"/>
        <v>0</v>
      </c>
      <c r="J50" s="126">
        <f t="shared" si="2"/>
        <v>0</v>
      </c>
      <c r="K50" s="127"/>
      <c r="L50" s="124"/>
      <c r="M50" s="128"/>
    </row>
    <row r="51" ht="21.0" customHeight="1">
      <c r="A51" s="17">
        <v>49.0</v>
      </c>
      <c r="B51" s="37" t="s">
        <v>62</v>
      </c>
      <c r="C51" s="38">
        <v>200.0</v>
      </c>
      <c r="D51" s="39">
        <v>10.0</v>
      </c>
      <c r="E51" s="40">
        <v>4.0</v>
      </c>
      <c r="F51" s="40">
        <v>1.0</v>
      </c>
      <c r="G51" s="39"/>
      <c r="H51" s="70">
        <v>3.0</v>
      </c>
      <c r="I51" s="23">
        <f t="shared" si="1"/>
        <v>2</v>
      </c>
      <c r="J51" s="24">
        <f t="shared" si="2"/>
        <v>400</v>
      </c>
      <c r="K51" s="25"/>
      <c r="L51" s="39"/>
      <c r="M51" s="42"/>
    </row>
    <row r="52" ht="21.0" customHeight="1">
      <c r="A52" s="27">
        <v>50.0</v>
      </c>
      <c r="B52" s="28" t="s">
        <v>63</v>
      </c>
      <c r="C52" s="29">
        <v>200.0</v>
      </c>
      <c r="D52" s="30">
        <v>10.0</v>
      </c>
      <c r="E52" s="123">
        <v>5.0</v>
      </c>
      <c r="F52" s="134"/>
      <c r="G52" s="124"/>
      <c r="H52" s="123">
        <v>5.0</v>
      </c>
      <c r="I52" s="33">
        <f t="shared" si="1"/>
        <v>0</v>
      </c>
      <c r="J52" s="126">
        <f t="shared" si="2"/>
        <v>0</v>
      </c>
      <c r="K52" s="127"/>
      <c r="L52" s="124"/>
      <c r="M52" s="128"/>
    </row>
    <row r="53" ht="21.0" customHeight="1">
      <c r="A53" s="17">
        <v>51.0</v>
      </c>
      <c r="B53" s="37" t="s">
        <v>64</v>
      </c>
      <c r="C53" s="38">
        <v>200.0</v>
      </c>
      <c r="D53" s="39">
        <v>15.0</v>
      </c>
      <c r="E53" s="40">
        <v>5.0</v>
      </c>
      <c r="F53" s="40">
        <v>10.0</v>
      </c>
      <c r="G53" s="39"/>
      <c r="H53" s="70">
        <v>13.0</v>
      </c>
      <c r="I53" s="23">
        <f t="shared" si="1"/>
        <v>2</v>
      </c>
      <c r="J53" s="24">
        <f t="shared" si="2"/>
        <v>400</v>
      </c>
      <c r="K53" s="25"/>
      <c r="L53" s="39"/>
      <c r="M53" s="42"/>
    </row>
    <row r="54" ht="21.0" customHeight="1">
      <c r="A54" s="27">
        <v>52.0</v>
      </c>
      <c r="B54" s="28" t="s">
        <v>65</v>
      </c>
      <c r="C54" s="29">
        <v>250.0</v>
      </c>
      <c r="D54" s="30">
        <v>4.0</v>
      </c>
      <c r="E54" s="123">
        <v>1.0</v>
      </c>
      <c r="F54" s="134"/>
      <c r="G54" s="124"/>
      <c r="H54" s="123">
        <v>1.0</v>
      </c>
      <c r="I54" s="33">
        <f t="shared" si="1"/>
        <v>0</v>
      </c>
      <c r="J54" s="126">
        <f t="shared" si="2"/>
        <v>0</v>
      </c>
      <c r="K54" s="127"/>
      <c r="L54" s="124"/>
      <c r="M54" s="128"/>
    </row>
    <row r="55" ht="21.0" customHeight="1">
      <c r="A55" s="17">
        <v>53.0</v>
      </c>
      <c r="B55" s="37" t="s">
        <v>66</v>
      </c>
      <c r="C55" s="38">
        <v>300.0</v>
      </c>
      <c r="D55" s="39">
        <v>2.0</v>
      </c>
      <c r="E55" s="40">
        <v>1.0</v>
      </c>
      <c r="F55" s="54"/>
      <c r="G55" s="39"/>
      <c r="H55" s="40">
        <v>1.0</v>
      </c>
      <c r="I55" s="23">
        <f t="shared" si="1"/>
        <v>0</v>
      </c>
      <c r="J55" s="24">
        <f t="shared" si="2"/>
        <v>0</v>
      </c>
      <c r="K55" s="25"/>
      <c r="L55" s="39"/>
      <c r="M55" s="42"/>
    </row>
    <row r="56" ht="21.0" customHeight="1">
      <c r="A56" s="27">
        <v>54.0</v>
      </c>
      <c r="B56" s="28" t="s">
        <v>67</v>
      </c>
      <c r="C56" s="29">
        <v>150.0</v>
      </c>
      <c r="D56" s="30">
        <v>4.0</v>
      </c>
      <c r="E56" s="123">
        <v>1.0</v>
      </c>
      <c r="F56" s="134"/>
      <c r="G56" s="124"/>
      <c r="H56" s="123">
        <v>1.0</v>
      </c>
      <c r="I56" s="33">
        <f t="shared" si="1"/>
        <v>0</v>
      </c>
      <c r="J56" s="126">
        <f t="shared" si="2"/>
        <v>0</v>
      </c>
      <c r="K56" s="127"/>
      <c r="L56" s="124"/>
      <c r="M56" s="128"/>
    </row>
    <row r="57" ht="21.0" customHeight="1">
      <c r="A57" s="17">
        <v>55.0</v>
      </c>
      <c r="B57" s="37" t="s">
        <v>68</v>
      </c>
      <c r="C57" s="38">
        <v>100.0</v>
      </c>
      <c r="D57" s="39">
        <v>2.0</v>
      </c>
      <c r="E57" s="40">
        <v>0.0</v>
      </c>
      <c r="F57" s="54"/>
      <c r="G57" s="39"/>
      <c r="H57" s="40">
        <v>0.0</v>
      </c>
      <c r="I57" s="23">
        <f t="shared" si="1"/>
        <v>0</v>
      </c>
      <c r="J57" s="24">
        <f t="shared" si="2"/>
        <v>0</v>
      </c>
      <c r="K57" s="25"/>
      <c r="L57" s="39"/>
      <c r="M57" s="42"/>
    </row>
    <row r="58" ht="21.0" customHeight="1">
      <c r="A58" s="27">
        <v>56.0</v>
      </c>
      <c r="B58" s="28" t="s">
        <v>69</v>
      </c>
      <c r="C58" s="29">
        <v>150.0</v>
      </c>
      <c r="D58" s="30">
        <v>4.0</v>
      </c>
      <c r="E58" s="123">
        <v>0.0</v>
      </c>
      <c r="F58" s="134"/>
      <c r="G58" s="124"/>
      <c r="H58" s="123">
        <v>0.0</v>
      </c>
      <c r="I58" s="33">
        <f t="shared" si="1"/>
        <v>0</v>
      </c>
      <c r="J58" s="126">
        <f t="shared" si="2"/>
        <v>0</v>
      </c>
      <c r="K58" s="127"/>
      <c r="L58" s="124"/>
      <c r="M58" s="128"/>
    </row>
    <row r="59" ht="21.0" customHeight="1">
      <c r="A59" s="17">
        <v>57.0</v>
      </c>
      <c r="B59" s="37" t="s">
        <v>70</v>
      </c>
      <c r="C59" s="38">
        <v>350.0</v>
      </c>
      <c r="D59" s="39">
        <v>2.0</v>
      </c>
      <c r="E59" s="40">
        <v>5.0</v>
      </c>
      <c r="F59" s="54"/>
      <c r="G59" s="39"/>
      <c r="H59" s="70">
        <v>4.0</v>
      </c>
      <c r="I59" s="23">
        <f t="shared" si="1"/>
        <v>1</v>
      </c>
      <c r="J59" s="24">
        <f t="shared" si="2"/>
        <v>350</v>
      </c>
      <c r="K59" s="25"/>
      <c r="L59" s="39"/>
      <c r="M59" s="42"/>
    </row>
    <row r="60" ht="21.0" customHeight="1">
      <c r="A60" s="27">
        <v>58.0</v>
      </c>
      <c r="B60" s="28" t="s">
        <v>71</v>
      </c>
      <c r="C60" s="29">
        <v>250.0</v>
      </c>
      <c r="D60" s="30">
        <v>6.0</v>
      </c>
      <c r="E60" s="123">
        <v>4.0</v>
      </c>
      <c r="F60" s="134"/>
      <c r="G60" s="124"/>
      <c r="H60" s="151">
        <v>3.0</v>
      </c>
      <c r="I60" s="33">
        <f t="shared" si="1"/>
        <v>1</v>
      </c>
      <c r="J60" s="153">
        <v>300.0</v>
      </c>
      <c r="K60" s="127"/>
      <c r="L60" s="124"/>
      <c r="M60" s="128"/>
    </row>
    <row r="61" ht="21.0" customHeight="1">
      <c r="A61" s="17">
        <v>59.0</v>
      </c>
      <c r="B61" s="37" t="s">
        <v>72</v>
      </c>
      <c r="C61" s="38">
        <v>1400.0</v>
      </c>
      <c r="D61" s="39">
        <v>2.0</v>
      </c>
      <c r="E61" s="40">
        <v>0.0</v>
      </c>
      <c r="F61" s="40">
        <v>1.0</v>
      </c>
      <c r="G61" s="39"/>
      <c r="H61" s="70">
        <v>1.0</v>
      </c>
      <c r="I61" s="23">
        <f t="shared" si="1"/>
        <v>0</v>
      </c>
      <c r="J61" s="24">
        <f t="shared" ref="J61:J124" si="3">C61*I61</f>
        <v>0</v>
      </c>
      <c r="K61" s="25"/>
      <c r="L61" s="39"/>
      <c r="M61" s="42"/>
    </row>
    <row r="62" ht="21.0" customHeight="1">
      <c r="A62" s="56">
        <v>60.0</v>
      </c>
      <c r="B62" s="57" t="s">
        <v>73</v>
      </c>
      <c r="C62" s="58">
        <v>400.0</v>
      </c>
      <c r="D62" s="30">
        <v>3.0</v>
      </c>
      <c r="E62" s="31">
        <v>2.0</v>
      </c>
      <c r="F62" s="55"/>
      <c r="G62" s="30"/>
      <c r="H62" s="31">
        <v>2.0</v>
      </c>
      <c r="I62" s="33">
        <f t="shared" si="1"/>
        <v>0</v>
      </c>
      <c r="J62" s="34">
        <f t="shared" si="3"/>
        <v>0</v>
      </c>
      <c r="K62" s="35"/>
      <c r="L62" s="30"/>
      <c r="M62" s="36"/>
    </row>
    <row r="63" ht="21.0" customHeight="1">
      <c r="A63" s="59">
        <v>61.0</v>
      </c>
      <c r="B63" s="60" t="s">
        <v>74</v>
      </c>
      <c r="C63" s="61">
        <v>500.0</v>
      </c>
      <c r="D63" s="62">
        <v>3.0</v>
      </c>
      <c r="E63" s="63">
        <v>3.0</v>
      </c>
      <c r="F63" s="64"/>
      <c r="G63" s="62"/>
      <c r="H63" s="63">
        <v>3.0</v>
      </c>
      <c r="I63" s="66">
        <f t="shared" si="1"/>
        <v>0</v>
      </c>
      <c r="J63" s="34">
        <f t="shared" si="3"/>
        <v>0</v>
      </c>
      <c r="K63" s="68"/>
      <c r="L63" s="62"/>
      <c r="M63" s="69"/>
    </row>
    <row r="64" ht="21.0" customHeight="1">
      <c r="A64" s="17">
        <v>62.0</v>
      </c>
      <c r="B64" s="37" t="s">
        <v>75</v>
      </c>
      <c r="C64" s="38">
        <v>1600.0</v>
      </c>
      <c r="D64" s="39">
        <v>1.0</v>
      </c>
      <c r="E64" s="40">
        <v>0.0</v>
      </c>
      <c r="F64" s="54"/>
      <c r="G64" s="39"/>
      <c r="H64" s="40">
        <v>0.0</v>
      </c>
      <c r="I64" s="23">
        <f t="shared" si="1"/>
        <v>0</v>
      </c>
      <c r="J64" s="24">
        <f t="shared" si="3"/>
        <v>0</v>
      </c>
      <c r="K64" s="25"/>
      <c r="L64" s="39"/>
      <c r="M64" s="42"/>
    </row>
    <row r="65" ht="21.0" customHeight="1">
      <c r="A65" s="56">
        <v>63.0</v>
      </c>
      <c r="B65" s="57" t="s">
        <v>76</v>
      </c>
      <c r="C65" s="58">
        <v>400.0</v>
      </c>
      <c r="D65" s="30">
        <v>1.0</v>
      </c>
      <c r="E65" s="31">
        <v>0.0</v>
      </c>
      <c r="F65" s="55"/>
      <c r="G65" s="30"/>
      <c r="H65" s="31">
        <v>0.0</v>
      </c>
      <c r="I65" s="33">
        <f t="shared" si="1"/>
        <v>0</v>
      </c>
      <c r="J65" s="34">
        <f t="shared" si="3"/>
        <v>0</v>
      </c>
      <c r="K65" s="35"/>
      <c r="L65" s="30"/>
      <c r="M65" s="36"/>
    </row>
    <row r="66" ht="21.0" customHeight="1">
      <c r="A66" s="17">
        <v>64.0</v>
      </c>
      <c r="B66" s="37" t="s">
        <v>77</v>
      </c>
      <c r="C66" s="38">
        <v>400.0</v>
      </c>
      <c r="D66" s="39">
        <v>3.0</v>
      </c>
      <c r="E66" s="40">
        <v>2.0</v>
      </c>
      <c r="F66" s="40">
        <v>4.0</v>
      </c>
      <c r="G66" s="39"/>
      <c r="H66" s="70">
        <v>4.0</v>
      </c>
      <c r="I66" s="23">
        <f t="shared" si="1"/>
        <v>2</v>
      </c>
      <c r="J66" s="24">
        <f t="shared" si="3"/>
        <v>800</v>
      </c>
      <c r="K66" s="25"/>
      <c r="L66" s="39"/>
      <c r="M66" s="42"/>
    </row>
    <row r="67" ht="21.0" customHeight="1">
      <c r="A67" s="56">
        <v>65.0</v>
      </c>
      <c r="B67" s="57" t="s">
        <v>78</v>
      </c>
      <c r="C67" s="58">
        <v>1300.0</v>
      </c>
      <c r="D67" s="30">
        <v>0.0</v>
      </c>
      <c r="E67" s="31">
        <v>0.0</v>
      </c>
      <c r="F67" s="31">
        <v>1.0</v>
      </c>
      <c r="G67" s="30"/>
      <c r="H67" s="154">
        <v>1.0</v>
      </c>
      <c r="I67" s="33">
        <f t="shared" si="1"/>
        <v>0</v>
      </c>
      <c r="J67" s="34">
        <f t="shared" si="3"/>
        <v>0</v>
      </c>
      <c r="K67" s="35"/>
      <c r="L67" s="30"/>
      <c r="M67" s="36"/>
    </row>
    <row r="68" ht="21.0" customHeight="1">
      <c r="A68" s="17">
        <v>66.0</v>
      </c>
      <c r="B68" s="37" t="s">
        <v>79</v>
      </c>
      <c r="C68" s="38">
        <v>250.0</v>
      </c>
      <c r="D68" s="39">
        <v>0.0</v>
      </c>
      <c r="E68" s="40">
        <v>0.0</v>
      </c>
      <c r="F68" s="54"/>
      <c r="G68" s="39"/>
      <c r="H68" s="40">
        <v>0.0</v>
      </c>
      <c r="I68" s="23">
        <f t="shared" si="1"/>
        <v>0</v>
      </c>
      <c r="J68" s="24">
        <f t="shared" si="3"/>
        <v>0</v>
      </c>
      <c r="K68" s="25"/>
      <c r="L68" s="39"/>
      <c r="M68" s="42"/>
    </row>
    <row r="69" ht="21.0" customHeight="1">
      <c r="A69" s="56">
        <v>67.0</v>
      </c>
      <c r="B69" s="57" t="s">
        <v>80</v>
      </c>
      <c r="C69" s="58">
        <v>350.0</v>
      </c>
      <c r="D69" s="30">
        <v>3.0</v>
      </c>
      <c r="E69" s="31">
        <v>3.0</v>
      </c>
      <c r="F69" s="55"/>
      <c r="G69" s="30"/>
      <c r="H69" s="31">
        <v>3.0</v>
      </c>
      <c r="I69" s="33">
        <f t="shared" si="1"/>
        <v>0</v>
      </c>
      <c r="J69" s="34">
        <f t="shared" si="3"/>
        <v>0</v>
      </c>
      <c r="K69" s="35"/>
      <c r="L69" s="30"/>
      <c r="M69" s="36"/>
    </row>
    <row r="70" ht="21.0" customHeight="1">
      <c r="A70" s="17">
        <v>68.0</v>
      </c>
      <c r="B70" s="37" t="s">
        <v>81</v>
      </c>
      <c r="C70" s="38">
        <v>400.0</v>
      </c>
      <c r="D70" s="39">
        <v>3.0</v>
      </c>
      <c r="E70" s="40">
        <v>3.0</v>
      </c>
      <c r="F70" s="54"/>
      <c r="G70" s="39"/>
      <c r="H70" s="40">
        <v>3.0</v>
      </c>
      <c r="I70" s="23">
        <f t="shared" si="1"/>
        <v>0</v>
      </c>
      <c r="J70" s="24">
        <f t="shared" si="3"/>
        <v>0</v>
      </c>
      <c r="K70" s="25"/>
      <c r="L70" s="39"/>
      <c r="M70" s="42"/>
    </row>
    <row r="71" ht="21.0" customHeight="1">
      <c r="A71" s="56">
        <v>69.0</v>
      </c>
      <c r="B71" s="57" t="s">
        <v>82</v>
      </c>
      <c r="C71" s="58">
        <v>400.0</v>
      </c>
      <c r="D71" s="30">
        <v>3.0</v>
      </c>
      <c r="E71" s="31">
        <v>0.0</v>
      </c>
      <c r="F71" s="31">
        <v>3.0</v>
      </c>
      <c r="G71" s="30"/>
      <c r="H71" s="154">
        <v>3.0</v>
      </c>
      <c r="I71" s="33">
        <f t="shared" si="1"/>
        <v>0</v>
      </c>
      <c r="J71" s="34">
        <f t="shared" si="3"/>
        <v>0</v>
      </c>
      <c r="K71" s="35"/>
      <c r="L71" s="30"/>
      <c r="M71" s="36"/>
    </row>
    <row r="72" ht="21.0" customHeight="1">
      <c r="A72" s="17">
        <v>70.0</v>
      </c>
      <c r="B72" s="37" t="s">
        <v>83</v>
      </c>
      <c r="C72" s="38">
        <v>450.0</v>
      </c>
      <c r="D72" s="39">
        <v>3.0</v>
      </c>
      <c r="E72" s="40">
        <v>6.0</v>
      </c>
      <c r="F72" s="54"/>
      <c r="G72" s="39"/>
      <c r="H72" s="40">
        <v>6.0</v>
      </c>
      <c r="I72" s="23">
        <f t="shared" si="1"/>
        <v>0</v>
      </c>
      <c r="J72" s="24">
        <f t="shared" si="3"/>
        <v>0</v>
      </c>
      <c r="K72" s="25"/>
      <c r="L72" s="39"/>
      <c r="M72" s="42"/>
    </row>
    <row r="73" ht="21.0" customHeight="1">
      <c r="A73" s="56">
        <v>71.0</v>
      </c>
      <c r="B73" s="57" t="s">
        <v>84</v>
      </c>
      <c r="C73" s="58">
        <v>550.0</v>
      </c>
      <c r="D73" s="30">
        <v>3.0</v>
      </c>
      <c r="E73" s="31">
        <v>3.0</v>
      </c>
      <c r="F73" s="55"/>
      <c r="G73" s="30"/>
      <c r="H73" s="31">
        <v>3.0</v>
      </c>
      <c r="I73" s="33">
        <f t="shared" si="1"/>
        <v>0</v>
      </c>
      <c r="J73" s="34">
        <f t="shared" si="3"/>
        <v>0</v>
      </c>
      <c r="K73" s="35"/>
      <c r="L73" s="30"/>
      <c r="M73" s="36"/>
    </row>
    <row r="74" ht="21.0" customHeight="1">
      <c r="A74" s="17">
        <v>72.0</v>
      </c>
      <c r="B74" s="37" t="s">
        <v>85</v>
      </c>
      <c r="C74" s="38">
        <v>1600.0</v>
      </c>
      <c r="D74" s="39">
        <v>2.0</v>
      </c>
      <c r="E74" s="40">
        <v>2.0</v>
      </c>
      <c r="F74" s="54"/>
      <c r="G74" s="39"/>
      <c r="H74" s="40">
        <v>2.0</v>
      </c>
      <c r="I74" s="23">
        <f t="shared" si="1"/>
        <v>0</v>
      </c>
      <c r="J74" s="24">
        <f t="shared" si="3"/>
        <v>0</v>
      </c>
      <c r="K74" s="25"/>
      <c r="L74" s="39"/>
      <c r="M74" s="42"/>
    </row>
    <row r="75" ht="21.0" customHeight="1">
      <c r="A75" s="56">
        <v>73.0</v>
      </c>
      <c r="B75" s="57" t="s">
        <v>86</v>
      </c>
      <c r="C75" s="58">
        <v>150.0</v>
      </c>
      <c r="D75" s="30">
        <v>4.0</v>
      </c>
      <c r="E75" s="31">
        <v>6.0</v>
      </c>
      <c r="F75" s="55"/>
      <c r="G75" s="30"/>
      <c r="H75" s="31">
        <v>6.0</v>
      </c>
      <c r="I75" s="33">
        <f t="shared" si="1"/>
        <v>0</v>
      </c>
      <c r="J75" s="34">
        <f t="shared" si="3"/>
        <v>0</v>
      </c>
      <c r="K75" s="35"/>
      <c r="L75" s="30"/>
      <c r="M75" s="36"/>
    </row>
    <row r="76" ht="21.0" customHeight="1">
      <c r="A76" s="17">
        <v>74.0</v>
      </c>
      <c r="B76" s="37" t="s">
        <v>87</v>
      </c>
      <c r="C76" s="38">
        <v>100.0</v>
      </c>
      <c r="D76" s="39">
        <v>4.0</v>
      </c>
      <c r="E76" s="40">
        <v>5.0</v>
      </c>
      <c r="F76" s="155">
        <v>1.0</v>
      </c>
      <c r="G76" s="39"/>
      <c r="H76" s="70">
        <v>4.0</v>
      </c>
      <c r="I76" s="23">
        <f t="shared" si="1"/>
        <v>2</v>
      </c>
      <c r="J76" s="24">
        <f t="shared" si="3"/>
        <v>200</v>
      </c>
      <c r="K76" s="25"/>
      <c r="L76" s="39"/>
      <c r="M76" s="42"/>
    </row>
    <row r="77" ht="21.0" customHeight="1">
      <c r="A77" s="56">
        <v>75.0</v>
      </c>
      <c r="B77" s="57" t="s">
        <v>88</v>
      </c>
      <c r="C77" s="58">
        <v>150.0</v>
      </c>
      <c r="D77" s="30">
        <v>1.0</v>
      </c>
      <c r="E77" s="31">
        <v>6.0</v>
      </c>
      <c r="F77" s="55"/>
      <c r="G77" s="30"/>
      <c r="H77" s="31">
        <v>6.0</v>
      </c>
      <c r="I77" s="33">
        <f t="shared" si="1"/>
        <v>0</v>
      </c>
      <c r="J77" s="34">
        <f t="shared" si="3"/>
        <v>0</v>
      </c>
      <c r="K77" s="35"/>
      <c r="L77" s="30"/>
      <c r="M77" s="36"/>
    </row>
    <row r="78" ht="21.0" customHeight="1">
      <c r="A78" s="17">
        <v>76.0</v>
      </c>
      <c r="B78" s="37" t="s">
        <v>89</v>
      </c>
      <c r="C78" s="38">
        <v>200.0</v>
      </c>
      <c r="D78" s="39">
        <v>1.0</v>
      </c>
      <c r="E78" s="40">
        <v>6.0</v>
      </c>
      <c r="F78" s="54"/>
      <c r="G78" s="39"/>
      <c r="H78" s="40">
        <v>6.0</v>
      </c>
      <c r="I78" s="23">
        <f t="shared" si="1"/>
        <v>0</v>
      </c>
      <c r="J78" s="24">
        <f t="shared" si="3"/>
        <v>0</v>
      </c>
      <c r="K78" s="25"/>
      <c r="L78" s="39"/>
      <c r="M78" s="42"/>
    </row>
    <row r="79" ht="21.0" customHeight="1">
      <c r="A79" s="56">
        <v>77.0</v>
      </c>
      <c r="B79" s="57" t="s">
        <v>90</v>
      </c>
      <c r="C79" s="58">
        <v>250.0</v>
      </c>
      <c r="D79" s="30">
        <v>1.0</v>
      </c>
      <c r="E79" s="31">
        <v>4.0</v>
      </c>
      <c r="F79" s="31">
        <v>2.0</v>
      </c>
      <c r="G79" s="30"/>
      <c r="H79" s="154">
        <v>6.0</v>
      </c>
      <c r="I79" s="33">
        <f t="shared" si="1"/>
        <v>0</v>
      </c>
      <c r="J79" s="34">
        <f t="shared" si="3"/>
        <v>0</v>
      </c>
      <c r="K79" s="35"/>
      <c r="L79" s="30"/>
      <c r="M79" s="36"/>
    </row>
    <row r="80" ht="21.0" customHeight="1">
      <c r="A80" s="17">
        <v>78.0</v>
      </c>
      <c r="B80" s="37" t="s">
        <v>91</v>
      </c>
      <c r="C80" s="38">
        <v>450.0</v>
      </c>
      <c r="D80" s="39">
        <v>1.0</v>
      </c>
      <c r="E80" s="40">
        <v>4.0</v>
      </c>
      <c r="F80" s="54"/>
      <c r="G80" s="39"/>
      <c r="H80" s="40">
        <v>4.0</v>
      </c>
      <c r="I80" s="23">
        <f t="shared" si="1"/>
        <v>0</v>
      </c>
      <c r="J80" s="24">
        <f t="shared" si="3"/>
        <v>0</v>
      </c>
      <c r="K80" s="25"/>
      <c r="L80" s="39"/>
      <c r="M80" s="42"/>
    </row>
    <row r="81" ht="21.0" customHeight="1">
      <c r="A81" s="56">
        <v>79.0</v>
      </c>
      <c r="B81" s="57" t="s">
        <v>92</v>
      </c>
      <c r="C81" s="58">
        <v>300.0</v>
      </c>
      <c r="D81" s="30">
        <v>4.0</v>
      </c>
      <c r="E81" s="31">
        <v>9.0</v>
      </c>
      <c r="F81" s="55"/>
      <c r="G81" s="30"/>
      <c r="H81" s="31">
        <v>9.0</v>
      </c>
      <c r="I81" s="33">
        <f t="shared" si="1"/>
        <v>0</v>
      </c>
      <c r="J81" s="34">
        <f t="shared" si="3"/>
        <v>0</v>
      </c>
      <c r="K81" s="35"/>
      <c r="L81" s="30"/>
      <c r="M81" s="36"/>
    </row>
    <row r="82" ht="21.0" customHeight="1">
      <c r="A82" s="17">
        <v>80.0</v>
      </c>
      <c r="B82" s="37" t="s">
        <v>93</v>
      </c>
      <c r="C82" s="38">
        <v>400.0</v>
      </c>
      <c r="D82" s="39">
        <v>3.0</v>
      </c>
      <c r="E82" s="40">
        <v>6.0</v>
      </c>
      <c r="F82" s="54"/>
      <c r="G82" s="39"/>
      <c r="H82" s="40">
        <v>6.0</v>
      </c>
      <c r="I82" s="23">
        <f t="shared" si="1"/>
        <v>0</v>
      </c>
      <c r="J82" s="24">
        <f t="shared" si="3"/>
        <v>0</v>
      </c>
      <c r="K82" s="25"/>
      <c r="L82" s="39"/>
      <c r="M82" s="42"/>
    </row>
    <row r="83" ht="21.0" customHeight="1">
      <c r="A83" s="56">
        <v>81.0</v>
      </c>
      <c r="B83" s="57" t="s">
        <v>94</v>
      </c>
      <c r="C83" s="58">
        <v>500.0</v>
      </c>
      <c r="D83" s="30">
        <v>1.0</v>
      </c>
      <c r="E83" s="31">
        <v>3.0</v>
      </c>
      <c r="F83" s="55"/>
      <c r="G83" s="30"/>
      <c r="H83" s="31">
        <v>3.0</v>
      </c>
      <c r="I83" s="33">
        <f t="shared" si="1"/>
        <v>0</v>
      </c>
      <c r="J83" s="34">
        <f t="shared" si="3"/>
        <v>0</v>
      </c>
      <c r="K83" s="35"/>
      <c r="L83" s="30"/>
      <c r="M83" s="36"/>
    </row>
    <row r="84" ht="21.0" customHeight="1">
      <c r="A84" s="17">
        <v>82.0</v>
      </c>
      <c r="B84" s="37" t="s">
        <v>95</v>
      </c>
      <c r="C84" s="38">
        <v>1500.0</v>
      </c>
      <c r="D84" s="39">
        <v>1.0</v>
      </c>
      <c r="E84" s="40">
        <v>2.0</v>
      </c>
      <c r="F84" s="54"/>
      <c r="G84" s="39"/>
      <c r="H84" s="40">
        <v>2.0</v>
      </c>
      <c r="I84" s="23">
        <f t="shared" si="1"/>
        <v>0</v>
      </c>
      <c r="J84" s="24">
        <f t="shared" si="3"/>
        <v>0</v>
      </c>
      <c r="K84" s="25"/>
      <c r="L84" s="39"/>
      <c r="M84" s="42"/>
    </row>
    <row r="85" ht="21.0" customHeight="1">
      <c r="A85" s="56">
        <v>83.0</v>
      </c>
      <c r="B85" s="57" t="s">
        <v>96</v>
      </c>
      <c r="C85" s="58">
        <v>300.0</v>
      </c>
      <c r="D85" s="30">
        <v>2.0</v>
      </c>
      <c r="E85" s="31">
        <v>1.0</v>
      </c>
      <c r="F85" s="55"/>
      <c r="G85" s="30"/>
      <c r="H85" s="31">
        <v>1.0</v>
      </c>
      <c r="I85" s="33">
        <f t="shared" si="1"/>
        <v>0</v>
      </c>
      <c r="J85" s="34">
        <f t="shared" si="3"/>
        <v>0</v>
      </c>
      <c r="K85" s="35"/>
      <c r="L85" s="30"/>
      <c r="M85" s="36"/>
    </row>
    <row r="86" ht="21.0" customHeight="1">
      <c r="A86" s="17">
        <v>84.0</v>
      </c>
      <c r="B86" s="37" t="s">
        <v>97</v>
      </c>
      <c r="C86" s="38">
        <v>400.0</v>
      </c>
      <c r="D86" s="39">
        <v>2.0</v>
      </c>
      <c r="E86" s="40">
        <v>0.0</v>
      </c>
      <c r="F86" s="54"/>
      <c r="G86" s="39"/>
      <c r="H86" s="40">
        <v>0.0</v>
      </c>
      <c r="I86" s="23">
        <f t="shared" si="1"/>
        <v>0</v>
      </c>
      <c r="J86" s="24">
        <f t="shared" si="3"/>
        <v>0</v>
      </c>
      <c r="K86" s="25"/>
      <c r="L86" s="39"/>
      <c r="M86" s="42"/>
    </row>
    <row r="87" ht="21.0" customHeight="1">
      <c r="A87" s="56">
        <v>85.0</v>
      </c>
      <c r="B87" s="57" t="s">
        <v>98</v>
      </c>
      <c r="C87" s="58">
        <v>500.0</v>
      </c>
      <c r="D87" s="30">
        <v>2.0</v>
      </c>
      <c r="E87" s="31">
        <v>0.0</v>
      </c>
      <c r="F87" s="31">
        <v>1.0</v>
      </c>
      <c r="G87" s="30"/>
      <c r="H87" s="154">
        <v>1.0</v>
      </c>
      <c r="I87" s="33">
        <f t="shared" si="1"/>
        <v>0</v>
      </c>
      <c r="J87" s="34">
        <f t="shared" si="3"/>
        <v>0</v>
      </c>
      <c r="K87" s="35"/>
      <c r="L87" s="30"/>
      <c r="M87" s="36"/>
    </row>
    <row r="88" ht="21.0" customHeight="1">
      <c r="A88" s="17">
        <v>86.0</v>
      </c>
      <c r="B88" s="37" t="s">
        <v>99</v>
      </c>
      <c r="C88" s="38">
        <v>200.0</v>
      </c>
      <c r="D88" s="39">
        <v>3.0</v>
      </c>
      <c r="E88" s="40">
        <v>4.0</v>
      </c>
      <c r="F88" s="54"/>
      <c r="G88" s="39"/>
      <c r="H88" s="40">
        <v>4.0</v>
      </c>
      <c r="I88" s="23">
        <f t="shared" si="1"/>
        <v>0</v>
      </c>
      <c r="J88" s="24">
        <f t="shared" si="3"/>
        <v>0</v>
      </c>
      <c r="K88" s="25"/>
      <c r="L88" s="39"/>
      <c r="M88" s="42"/>
    </row>
    <row r="89" ht="21.0" customHeight="1">
      <c r="A89" s="56">
        <v>87.0</v>
      </c>
      <c r="B89" s="57" t="s">
        <v>100</v>
      </c>
      <c r="C89" s="58">
        <v>200.0</v>
      </c>
      <c r="D89" s="30">
        <v>2.0</v>
      </c>
      <c r="E89" s="31">
        <v>2.0</v>
      </c>
      <c r="F89" s="31">
        <v>4.0</v>
      </c>
      <c r="G89" s="30"/>
      <c r="H89" s="154">
        <v>6.0</v>
      </c>
      <c r="I89" s="33">
        <f t="shared" si="1"/>
        <v>0</v>
      </c>
      <c r="J89" s="34">
        <f t="shared" si="3"/>
        <v>0</v>
      </c>
      <c r="K89" s="35"/>
      <c r="L89" s="30"/>
      <c r="M89" s="36"/>
    </row>
    <row r="90" ht="21.0" customHeight="1">
      <c r="A90" s="17">
        <v>88.0</v>
      </c>
      <c r="B90" s="37" t="s">
        <v>101</v>
      </c>
      <c r="C90" s="38">
        <v>200.0</v>
      </c>
      <c r="D90" s="39">
        <v>4.0</v>
      </c>
      <c r="E90" s="40">
        <v>0.0</v>
      </c>
      <c r="F90" s="54"/>
      <c r="G90" s="39"/>
      <c r="H90" s="40">
        <v>0.0</v>
      </c>
      <c r="I90" s="23">
        <f t="shared" si="1"/>
        <v>0</v>
      </c>
      <c r="J90" s="24">
        <f t="shared" si="3"/>
        <v>0</v>
      </c>
      <c r="K90" s="25"/>
      <c r="L90" s="39"/>
      <c r="M90" s="42"/>
    </row>
    <row r="91" ht="21.0" customHeight="1">
      <c r="A91" s="56">
        <v>89.0</v>
      </c>
      <c r="B91" s="57" t="s">
        <v>102</v>
      </c>
      <c r="C91" s="58">
        <v>200.0</v>
      </c>
      <c r="D91" s="30">
        <v>2.0</v>
      </c>
      <c r="E91" s="31">
        <v>6.0</v>
      </c>
      <c r="F91" s="55"/>
      <c r="G91" s="30"/>
      <c r="H91" s="31">
        <v>6.0</v>
      </c>
      <c r="I91" s="33">
        <f t="shared" si="1"/>
        <v>0</v>
      </c>
      <c r="J91" s="34">
        <f t="shared" si="3"/>
        <v>0</v>
      </c>
      <c r="K91" s="35"/>
      <c r="L91" s="30"/>
      <c r="M91" s="36"/>
    </row>
    <row r="92" ht="21.0" customHeight="1">
      <c r="A92" s="17">
        <v>90.0</v>
      </c>
      <c r="B92" s="37" t="s">
        <v>103</v>
      </c>
      <c r="C92" s="38">
        <v>150.0</v>
      </c>
      <c r="D92" s="39">
        <v>1.0</v>
      </c>
      <c r="E92" s="40">
        <v>2.0</v>
      </c>
      <c r="F92" s="54"/>
      <c r="G92" s="39"/>
      <c r="H92" s="40">
        <v>2.0</v>
      </c>
      <c r="I92" s="23">
        <f t="shared" si="1"/>
        <v>0</v>
      </c>
      <c r="J92" s="24">
        <f t="shared" si="3"/>
        <v>0</v>
      </c>
      <c r="K92" s="25"/>
      <c r="L92" s="39"/>
      <c r="M92" s="42"/>
    </row>
    <row r="93" ht="21.0" customHeight="1">
      <c r="A93" s="56">
        <v>91.0</v>
      </c>
      <c r="B93" s="57" t="s">
        <v>104</v>
      </c>
      <c r="C93" s="58">
        <v>100.0</v>
      </c>
      <c r="D93" s="30">
        <v>4.0</v>
      </c>
      <c r="E93" s="31">
        <v>2.0</v>
      </c>
      <c r="F93" s="31">
        <v>7.0</v>
      </c>
      <c r="G93" s="30"/>
      <c r="H93" s="154">
        <v>8.0</v>
      </c>
      <c r="I93" s="33">
        <f t="shared" si="1"/>
        <v>1</v>
      </c>
      <c r="J93" s="34">
        <f t="shared" si="3"/>
        <v>100</v>
      </c>
      <c r="K93" s="35"/>
      <c r="L93" s="30"/>
      <c r="M93" s="36"/>
    </row>
    <row r="94" ht="21.0" customHeight="1">
      <c r="A94" s="17">
        <v>92.0</v>
      </c>
      <c r="B94" s="37" t="s">
        <v>105</v>
      </c>
      <c r="C94" s="38">
        <v>150.0</v>
      </c>
      <c r="D94" s="39">
        <v>2.0</v>
      </c>
      <c r="E94" s="40">
        <v>8.0</v>
      </c>
      <c r="F94" s="54"/>
      <c r="G94" s="39"/>
      <c r="H94" s="40">
        <v>8.0</v>
      </c>
      <c r="I94" s="23">
        <f t="shared" si="1"/>
        <v>0</v>
      </c>
      <c r="J94" s="24">
        <f t="shared" si="3"/>
        <v>0</v>
      </c>
      <c r="K94" s="25"/>
      <c r="L94" s="39"/>
      <c r="M94" s="42"/>
    </row>
    <row r="95" ht="21.0" customHeight="1">
      <c r="A95" s="56">
        <v>93.0</v>
      </c>
      <c r="B95" s="57" t="s">
        <v>106</v>
      </c>
      <c r="C95" s="58">
        <v>200.0</v>
      </c>
      <c r="D95" s="30">
        <v>2.0</v>
      </c>
      <c r="E95" s="31">
        <v>7.0</v>
      </c>
      <c r="F95" s="55"/>
      <c r="G95" s="30"/>
      <c r="H95" s="31">
        <v>7.0</v>
      </c>
      <c r="I95" s="33">
        <f t="shared" si="1"/>
        <v>0</v>
      </c>
      <c r="J95" s="34">
        <f t="shared" si="3"/>
        <v>0</v>
      </c>
      <c r="K95" s="35"/>
      <c r="L95" s="30"/>
      <c r="M95" s="36"/>
    </row>
    <row r="96" ht="21.0" customHeight="1">
      <c r="A96" s="17">
        <v>94.0</v>
      </c>
      <c r="B96" s="37" t="s">
        <v>107</v>
      </c>
      <c r="C96" s="38">
        <v>150.0</v>
      </c>
      <c r="D96" s="39">
        <v>4.0</v>
      </c>
      <c r="E96" s="40">
        <v>2.0</v>
      </c>
      <c r="F96" s="40">
        <v>4.0</v>
      </c>
      <c r="G96" s="39"/>
      <c r="H96" s="70">
        <v>6.0</v>
      </c>
      <c r="I96" s="23">
        <f t="shared" si="1"/>
        <v>0</v>
      </c>
      <c r="J96" s="24">
        <f t="shared" si="3"/>
        <v>0</v>
      </c>
      <c r="K96" s="25"/>
      <c r="L96" s="39"/>
      <c r="M96" s="42"/>
    </row>
    <row r="97" ht="21.0" customHeight="1">
      <c r="A97" s="56">
        <v>95.0</v>
      </c>
      <c r="B97" s="57" t="s">
        <v>108</v>
      </c>
      <c r="C97" s="58">
        <v>200.0</v>
      </c>
      <c r="D97" s="30">
        <v>2.0</v>
      </c>
      <c r="E97" s="31">
        <v>4.0</v>
      </c>
      <c r="F97" s="31">
        <v>2.0</v>
      </c>
      <c r="G97" s="30"/>
      <c r="H97" s="154">
        <v>6.0</v>
      </c>
      <c r="I97" s="33">
        <f t="shared" si="1"/>
        <v>0</v>
      </c>
      <c r="J97" s="34">
        <f t="shared" si="3"/>
        <v>0</v>
      </c>
      <c r="K97" s="35"/>
      <c r="L97" s="30"/>
      <c r="M97" s="36"/>
    </row>
    <row r="98" ht="21.0" customHeight="1">
      <c r="A98" s="17">
        <v>96.0</v>
      </c>
      <c r="B98" s="37" t="s">
        <v>109</v>
      </c>
      <c r="C98" s="38">
        <v>250.0</v>
      </c>
      <c r="D98" s="39">
        <v>3.0</v>
      </c>
      <c r="E98" s="40">
        <v>2.0</v>
      </c>
      <c r="F98" s="54"/>
      <c r="G98" s="39"/>
      <c r="H98" s="40">
        <v>2.0</v>
      </c>
      <c r="I98" s="23">
        <f t="shared" si="1"/>
        <v>0</v>
      </c>
      <c r="J98" s="24">
        <f t="shared" si="3"/>
        <v>0</v>
      </c>
      <c r="K98" s="25"/>
      <c r="L98" s="39"/>
      <c r="M98" s="42"/>
    </row>
    <row r="99" ht="21.0" customHeight="1">
      <c r="A99" s="56">
        <v>97.0</v>
      </c>
      <c r="B99" s="57" t="s">
        <v>110</v>
      </c>
      <c r="C99" s="58">
        <v>300.0</v>
      </c>
      <c r="D99" s="43">
        <v>2.0</v>
      </c>
      <c r="E99" s="44">
        <v>0.0</v>
      </c>
      <c r="F99" s="52"/>
      <c r="G99" s="43"/>
      <c r="H99" s="44">
        <v>0.0</v>
      </c>
      <c r="I99" s="33">
        <f t="shared" si="1"/>
        <v>0</v>
      </c>
      <c r="J99" s="34">
        <f t="shared" si="3"/>
        <v>0</v>
      </c>
      <c r="K99" s="35"/>
      <c r="L99" s="43"/>
      <c r="M99" s="46"/>
    </row>
    <row r="100" ht="21.0" customHeight="1">
      <c r="A100" s="17">
        <v>98.0</v>
      </c>
      <c r="B100" s="37" t="s">
        <v>111</v>
      </c>
      <c r="C100" s="38">
        <v>300.0</v>
      </c>
      <c r="D100" s="47">
        <v>1.0</v>
      </c>
      <c r="E100" s="48">
        <v>0.0</v>
      </c>
      <c r="F100" s="70">
        <v>2.0</v>
      </c>
      <c r="G100" s="47"/>
      <c r="H100" s="135">
        <v>2.0</v>
      </c>
      <c r="I100" s="23">
        <f t="shared" si="1"/>
        <v>0</v>
      </c>
      <c r="J100" s="24">
        <f t="shared" si="3"/>
        <v>0</v>
      </c>
      <c r="K100" s="25"/>
      <c r="L100" s="47"/>
      <c r="M100" s="50"/>
    </row>
    <row r="101" ht="21.0" customHeight="1">
      <c r="A101" s="56">
        <v>99.0</v>
      </c>
      <c r="B101" s="57" t="s">
        <v>112</v>
      </c>
      <c r="C101" s="58">
        <v>150.0</v>
      </c>
      <c r="D101" s="30">
        <v>2.0</v>
      </c>
      <c r="E101" s="31">
        <v>2.0</v>
      </c>
      <c r="F101" s="55"/>
      <c r="G101" s="30"/>
      <c r="H101" s="31">
        <v>2.0</v>
      </c>
      <c r="I101" s="33">
        <f t="shared" si="1"/>
        <v>0</v>
      </c>
      <c r="J101" s="34">
        <f t="shared" si="3"/>
        <v>0</v>
      </c>
      <c r="K101" s="35"/>
      <c r="L101" s="30"/>
      <c r="M101" s="36"/>
    </row>
    <row r="102" ht="21.0" customHeight="1">
      <c r="A102" s="17">
        <v>100.0</v>
      </c>
      <c r="B102" s="37" t="s">
        <v>113</v>
      </c>
      <c r="C102" s="38">
        <v>1400.0</v>
      </c>
      <c r="D102" s="39">
        <v>1.0</v>
      </c>
      <c r="E102" s="40">
        <v>0.0</v>
      </c>
      <c r="F102" s="40">
        <v>1.0</v>
      </c>
      <c r="G102" s="39"/>
      <c r="H102" s="70">
        <v>1.0</v>
      </c>
      <c r="I102" s="23">
        <f t="shared" si="1"/>
        <v>0</v>
      </c>
      <c r="J102" s="24">
        <f t="shared" si="3"/>
        <v>0</v>
      </c>
      <c r="K102" s="25"/>
      <c r="L102" s="39"/>
      <c r="M102" s="42"/>
    </row>
    <row r="103" ht="21.0" customHeight="1">
      <c r="A103" s="56">
        <v>101.0</v>
      </c>
      <c r="B103" s="57" t="s">
        <v>114</v>
      </c>
      <c r="C103" s="58">
        <v>1800.0</v>
      </c>
      <c r="D103" s="30">
        <v>1.0</v>
      </c>
      <c r="E103" s="31">
        <v>3.0</v>
      </c>
      <c r="F103" s="55"/>
      <c r="G103" s="30"/>
      <c r="H103" s="31">
        <v>3.0</v>
      </c>
      <c r="I103" s="33">
        <f t="shared" si="1"/>
        <v>0</v>
      </c>
      <c r="J103" s="34">
        <f t="shared" si="3"/>
        <v>0</v>
      </c>
      <c r="K103" s="35"/>
      <c r="L103" s="30"/>
      <c r="M103" s="36"/>
    </row>
    <row r="104" ht="21.0" customHeight="1">
      <c r="A104" s="17">
        <v>102.0</v>
      </c>
      <c r="B104" s="37" t="s">
        <v>115</v>
      </c>
      <c r="C104" s="38">
        <v>200.0</v>
      </c>
      <c r="D104" s="39">
        <v>1.0</v>
      </c>
      <c r="E104" s="40">
        <v>0.0</v>
      </c>
      <c r="F104" s="54"/>
      <c r="G104" s="39"/>
      <c r="H104" s="40">
        <v>0.0</v>
      </c>
      <c r="I104" s="23">
        <f t="shared" si="1"/>
        <v>0</v>
      </c>
      <c r="J104" s="24">
        <f t="shared" si="3"/>
        <v>0</v>
      </c>
      <c r="K104" s="25"/>
      <c r="L104" s="39"/>
      <c r="M104" s="42"/>
    </row>
    <row r="105" ht="21.0" customHeight="1">
      <c r="A105" s="56">
        <v>103.0</v>
      </c>
      <c r="B105" s="71" t="s">
        <v>116</v>
      </c>
      <c r="C105" s="58">
        <v>150.0</v>
      </c>
      <c r="D105" s="30">
        <v>1.0</v>
      </c>
      <c r="E105" s="31">
        <v>0.0</v>
      </c>
      <c r="F105" s="55"/>
      <c r="G105" s="30"/>
      <c r="H105" s="31">
        <v>0.0</v>
      </c>
      <c r="I105" s="33">
        <f t="shared" si="1"/>
        <v>0</v>
      </c>
      <c r="J105" s="34">
        <f t="shared" si="3"/>
        <v>0</v>
      </c>
      <c r="K105" s="35"/>
      <c r="L105" s="30"/>
      <c r="M105" s="36"/>
    </row>
    <row r="106" ht="21.0" customHeight="1">
      <c r="A106" s="17">
        <v>104.0</v>
      </c>
      <c r="B106" s="37" t="s">
        <v>117</v>
      </c>
      <c r="C106" s="38">
        <v>150.0</v>
      </c>
      <c r="D106" s="39">
        <v>2.0</v>
      </c>
      <c r="E106" s="40">
        <v>0.0</v>
      </c>
      <c r="F106" s="54"/>
      <c r="G106" s="39"/>
      <c r="H106" s="40">
        <v>0.0</v>
      </c>
      <c r="I106" s="23">
        <f t="shared" si="1"/>
        <v>0</v>
      </c>
      <c r="J106" s="24">
        <f t="shared" si="3"/>
        <v>0</v>
      </c>
      <c r="K106" s="25"/>
      <c r="L106" s="39"/>
      <c r="M106" s="42"/>
    </row>
    <row r="107" ht="21.0" customHeight="1">
      <c r="A107" s="56">
        <v>105.0</v>
      </c>
      <c r="B107" s="57" t="s">
        <v>118</v>
      </c>
      <c r="C107" s="58">
        <v>200.0</v>
      </c>
      <c r="D107" s="30">
        <v>1.0</v>
      </c>
      <c r="E107" s="31">
        <v>0.0</v>
      </c>
      <c r="F107" s="55"/>
      <c r="G107" s="30"/>
      <c r="H107" s="31">
        <v>0.0</v>
      </c>
      <c r="I107" s="33">
        <f t="shared" si="1"/>
        <v>0</v>
      </c>
      <c r="J107" s="34">
        <f t="shared" si="3"/>
        <v>0</v>
      </c>
      <c r="K107" s="35"/>
      <c r="L107" s="30"/>
      <c r="M107" s="36"/>
    </row>
    <row r="108" ht="21.0" customHeight="1">
      <c r="A108" s="17">
        <v>106.0</v>
      </c>
      <c r="B108" s="37" t="s">
        <v>119</v>
      </c>
      <c r="C108" s="38">
        <v>400.0</v>
      </c>
      <c r="D108" s="47">
        <v>2.0</v>
      </c>
      <c r="E108" s="48">
        <v>0.0</v>
      </c>
      <c r="F108" s="51"/>
      <c r="G108" s="47"/>
      <c r="H108" s="48">
        <v>0.0</v>
      </c>
      <c r="I108" s="23">
        <f t="shared" si="1"/>
        <v>0</v>
      </c>
      <c r="J108" s="24">
        <f t="shared" si="3"/>
        <v>0</v>
      </c>
      <c r="K108" s="25"/>
      <c r="L108" s="47"/>
      <c r="M108" s="50"/>
    </row>
    <row r="109" ht="21.0" customHeight="1">
      <c r="A109" s="56">
        <v>107.0</v>
      </c>
      <c r="B109" s="57" t="s">
        <v>120</v>
      </c>
      <c r="C109" s="58">
        <v>200.0</v>
      </c>
      <c r="D109" s="43">
        <v>5.0</v>
      </c>
      <c r="E109" s="44">
        <v>0.0</v>
      </c>
      <c r="F109" s="52"/>
      <c r="G109" s="43"/>
      <c r="H109" s="44">
        <v>0.0</v>
      </c>
      <c r="I109" s="33">
        <f t="shared" si="1"/>
        <v>0</v>
      </c>
      <c r="J109" s="34">
        <f t="shared" si="3"/>
        <v>0</v>
      </c>
      <c r="K109" s="35"/>
      <c r="L109" s="43"/>
      <c r="M109" s="46"/>
    </row>
    <row r="110" ht="21.0" customHeight="1">
      <c r="A110" s="17">
        <v>108.0</v>
      </c>
      <c r="B110" s="37" t="s">
        <v>121</v>
      </c>
      <c r="C110" s="38">
        <v>350.0</v>
      </c>
      <c r="D110" s="39">
        <v>3.0</v>
      </c>
      <c r="E110" s="40">
        <v>1.0</v>
      </c>
      <c r="F110" s="54"/>
      <c r="G110" s="39"/>
      <c r="H110" s="40">
        <v>1.0</v>
      </c>
      <c r="I110" s="23">
        <f t="shared" si="1"/>
        <v>0</v>
      </c>
      <c r="J110" s="24">
        <f t="shared" si="3"/>
        <v>0</v>
      </c>
      <c r="K110" s="25"/>
      <c r="L110" s="39"/>
      <c r="M110" s="42"/>
    </row>
    <row r="111" ht="21.0" customHeight="1">
      <c r="A111" s="56">
        <v>109.0</v>
      </c>
      <c r="B111" s="57" t="s">
        <v>122</v>
      </c>
      <c r="C111" s="58">
        <v>250.0</v>
      </c>
      <c r="D111" s="30">
        <v>1.0</v>
      </c>
      <c r="E111" s="31">
        <v>0.0</v>
      </c>
      <c r="F111" s="55"/>
      <c r="G111" s="30"/>
      <c r="H111" s="31">
        <v>0.0</v>
      </c>
      <c r="I111" s="33">
        <f t="shared" si="1"/>
        <v>0</v>
      </c>
      <c r="J111" s="34">
        <f t="shared" si="3"/>
        <v>0</v>
      </c>
      <c r="K111" s="35"/>
      <c r="L111" s="30"/>
      <c r="M111" s="36"/>
    </row>
    <row r="112" ht="21.0" customHeight="1">
      <c r="A112" s="17">
        <v>110.0</v>
      </c>
      <c r="B112" s="37" t="s">
        <v>123</v>
      </c>
      <c r="C112" s="38">
        <v>550.0</v>
      </c>
      <c r="D112" s="39">
        <v>1.0</v>
      </c>
      <c r="E112" s="40">
        <v>0.0</v>
      </c>
      <c r="F112" s="54"/>
      <c r="G112" s="39"/>
      <c r="H112" s="40">
        <v>0.0</v>
      </c>
      <c r="I112" s="23">
        <f t="shared" si="1"/>
        <v>0</v>
      </c>
      <c r="J112" s="24">
        <f t="shared" si="3"/>
        <v>0</v>
      </c>
      <c r="K112" s="25"/>
      <c r="L112" s="39"/>
      <c r="M112" s="42"/>
    </row>
    <row r="113" ht="21.0" customHeight="1">
      <c r="A113" s="56">
        <v>111.0</v>
      </c>
      <c r="B113" s="57" t="s">
        <v>124</v>
      </c>
      <c r="C113" s="58">
        <v>800.0</v>
      </c>
      <c r="D113" s="30">
        <v>1.0</v>
      </c>
      <c r="E113" s="31">
        <v>2.0</v>
      </c>
      <c r="F113" s="55"/>
      <c r="G113" s="30"/>
      <c r="H113" s="31">
        <v>2.0</v>
      </c>
      <c r="I113" s="33">
        <f t="shared" si="1"/>
        <v>0</v>
      </c>
      <c r="J113" s="34">
        <f t="shared" si="3"/>
        <v>0</v>
      </c>
      <c r="K113" s="35"/>
      <c r="L113" s="30"/>
      <c r="M113" s="36"/>
    </row>
    <row r="114" ht="21.0" customHeight="1">
      <c r="A114" s="17">
        <v>112.0</v>
      </c>
      <c r="B114" s="37" t="s">
        <v>125</v>
      </c>
      <c r="C114" s="38">
        <v>2000.0</v>
      </c>
      <c r="D114" s="39">
        <v>1.0</v>
      </c>
      <c r="E114" s="40">
        <v>1.0</v>
      </c>
      <c r="F114" s="54"/>
      <c r="G114" s="39"/>
      <c r="H114" s="40">
        <v>1.0</v>
      </c>
      <c r="I114" s="23">
        <f t="shared" si="1"/>
        <v>0</v>
      </c>
      <c r="J114" s="24">
        <f t="shared" si="3"/>
        <v>0</v>
      </c>
      <c r="K114" s="25"/>
      <c r="L114" s="39"/>
      <c r="M114" s="42"/>
    </row>
    <row r="115" ht="21.0" customHeight="1">
      <c r="A115" s="56">
        <v>113.0</v>
      </c>
      <c r="B115" s="57" t="s">
        <v>126</v>
      </c>
      <c r="C115" s="58">
        <v>300.0</v>
      </c>
      <c r="D115" s="43">
        <v>1.0</v>
      </c>
      <c r="E115" s="44">
        <v>0.0</v>
      </c>
      <c r="F115" s="52"/>
      <c r="G115" s="43"/>
      <c r="H115" s="44">
        <v>0.0</v>
      </c>
      <c r="I115" s="33">
        <f t="shared" si="1"/>
        <v>0</v>
      </c>
      <c r="J115" s="34">
        <f t="shared" si="3"/>
        <v>0</v>
      </c>
      <c r="K115" s="35"/>
      <c r="L115" s="43"/>
      <c r="M115" s="46"/>
    </row>
    <row r="116" ht="21.0" customHeight="1">
      <c r="A116" s="17">
        <v>114.0</v>
      </c>
      <c r="B116" s="37" t="s">
        <v>127</v>
      </c>
      <c r="C116" s="38">
        <v>200.0</v>
      </c>
      <c r="D116" s="39">
        <v>0.0</v>
      </c>
      <c r="E116" s="40">
        <v>0.0</v>
      </c>
      <c r="F116" s="54"/>
      <c r="G116" s="39"/>
      <c r="H116" s="40">
        <v>0.0</v>
      </c>
      <c r="I116" s="23">
        <f t="shared" si="1"/>
        <v>0</v>
      </c>
      <c r="J116" s="24">
        <f t="shared" si="3"/>
        <v>0</v>
      </c>
      <c r="K116" s="25"/>
      <c r="L116" s="39"/>
      <c r="M116" s="42"/>
    </row>
    <row r="117" ht="21.0" customHeight="1">
      <c r="A117" s="56">
        <v>115.0</v>
      </c>
      <c r="B117" s="57" t="s">
        <v>128</v>
      </c>
      <c r="C117" s="58">
        <v>250.0</v>
      </c>
      <c r="D117" s="30">
        <v>0.0</v>
      </c>
      <c r="E117" s="31">
        <v>0.0</v>
      </c>
      <c r="F117" s="31">
        <v>1.0</v>
      </c>
      <c r="G117" s="30"/>
      <c r="H117" s="154">
        <v>1.0</v>
      </c>
      <c r="I117" s="33">
        <f t="shared" si="1"/>
        <v>0</v>
      </c>
      <c r="J117" s="34">
        <f t="shared" si="3"/>
        <v>0</v>
      </c>
      <c r="K117" s="35"/>
      <c r="L117" s="30"/>
      <c r="M117" s="36"/>
    </row>
    <row r="118" ht="21.0" customHeight="1">
      <c r="A118" s="17">
        <v>116.0</v>
      </c>
      <c r="B118" s="37" t="s">
        <v>129</v>
      </c>
      <c r="C118" s="38">
        <v>250.0</v>
      </c>
      <c r="D118" s="39">
        <v>0.0</v>
      </c>
      <c r="E118" s="40">
        <v>0.0</v>
      </c>
      <c r="F118" s="54"/>
      <c r="G118" s="39"/>
      <c r="H118" s="40">
        <v>0.0</v>
      </c>
      <c r="I118" s="23">
        <f t="shared" si="1"/>
        <v>0</v>
      </c>
      <c r="J118" s="24">
        <f t="shared" si="3"/>
        <v>0</v>
      </c>
      <c r="K118" s="25"/>
      <c r="L118" s="39"/>
      <c r="M118" s="42"/>
    </row>
    <row r="119" ht="21.0" customHeight="1">
      <c r="A119" s="56">
        <v>117.0</v>
      </c>
      <c r="B119" s="57" t="s">
        <v>130</v>
      </c>
      <c r="C119" s="58">
        <v>250.0</v>
      </c>
      <c r="D119" s="30">
        <v>1.0</v>
      </c>
      <c r="E119" s="31">
        <v>0.0</v>
      </c>
      <c r="F119" s="55"/>
      <c r="G119" s="30"/>
      <c r="H119" s="31">
        <v>0.0</v>
      </c>
      <c r="I119" s="33">
        <f t="shared" si="1"/>
        <v>0</v>
      </c>
      <c r="J119" s="34">
        <f t="shared" si="3"/>
        <v>0</v>
      </c>
      <c r="K119" s="35"/>
      <c r="L119" s="30"/>
      <c r="M119" s="36"/>
    </row>
    <row r="120" ht="21.0" customHeight="1">
      <c r="A120" s="17">
        <v>118.0</v>
      </c>
      <c r="B120" s="37" t="s">
        <v>131</v>
      </c>
      <c r="C120" s="38">
        <v>250.0</v>
      </c>
      <c r="D120" s="39">
        <v>1.0</v>
      </c>
      <c r="E120" s="40">
        <v>0.0</v>
      </c>
      <c r="F120" s="54"/>
      <c r="G120" s="39"/>
      <c r="H120" s="40">
        <v>0.0</v>
      </c>
      <c r="I120" s="23">
        <f t="shared" si="1"/>
        <v>0</v>
      </c>
      <c r="J120" s="24">
        <f t="shared" si="3"/>
        <v>0</v>
      </c>
      <c r="K120" s="25"/>
      <c r="L120" s="39"/>
      <c r="M120" s="42"/>
    </row>
    <row r="121" ht="21.0" customHeight="1">
      <c r="A121" s="56">
        <v>119.0</v>
      </c>
      <c r="B121" s="57" t="s">
        <v>132</v>
      </c>
      <c r="C121" s="58">
        <v>750.0</v>
      </c>
      <c r="D121" s="30">
        <v>1.0</v>
      </c>
      <c r="E121" s="31">
        <v>1.0</v>
      </c>
      <c r="F121" s="55"/>
      <c r="G121" s="30"/>
      <c r="H121" s="31">
        <v>1.0</v>
      </c>
      <c r="I121" s="33">
        <f t="shared" si="1"/>
        <v>0</v>
      </c>
      <c r="J121" s="34">
        <f t="shared" si="3"/>
        <v>0</v>
      </c>
      <c r="K121" s="35"/>
      <c r="L121" s="30"/>
      <c r="M121" s="36"/>
    </row>
    <row r="122" ht="21.0" customHeight="1">
      <c r="A122" s="17">
        <v>120.0</v>
      </c>
      <c r="B122" s="37" t="s">
        <v>133</v>
      </c>
      <c r="C122" s="38">
        <v>800.0</v>
      </c>
      <c r="D122" s="39">
        <v>3.0</v>
      </c>
      <c r="E122" s="40">
        <v>6.0</v>
      </c>
      <c r="F122" s="54"/>
      <c r="G122" s="39"/>
      <c r="H122" s="40">
        <v>6.0</v>
      </c>
      <c r="I122" s="23">
        <f t="shared" si="1"/>
        <v>0</v>
      </c>
      <c r="J122" s="24">
        <f t="shared" si="3"/>
        <v>0</v>
      </c>
      <c r="K122" s="25"/>
      <c r="L122" s="39"/>
      <c r="M122" s="42"/>
    </row>
    <row r="123" ht="21.0" customHeight="1">
      <c r="A123" s="56">
        <v>121.0</v>
      </c>
      <c r="B123" s="57" t="s">
        <v>134</v>
      </c>
      <c r="C123" s="58">
        <v>150.0</v>
      </c>
      <c r="D123" s="30">
        <v>2.0</v>
      </c>
      <c r="E123" s="31">
        <v>0.0</v>
      </c>
      <c r="F123" s="31">
        <v>8.0</v>
      </c>
      <c r="G123" s="30"/>
      <c r="H123" s="154">
        <v>8.0</v>
      </c>
      <c r="I123" s="33">
        <f t="shared" si="1"/>
        <v>0</v>
      </c>
      <c r="J123" s="34">
        <f t="shared" si="3"/>
        <v>0</v>
      </c>
      <c r="K123" s="35"/>
      <c r="L123" s="30"/>
      <c r="M123" s="36"/>
    </row>
    <row r="124" ht="21.0" customHeight="1">
      <c r="A124" s="17">
        <v>122.0</v>
      </c>
      <c r="B124" s="37" t="s">
        <v>135</v>
      </c>
      <c r="C124" s="38">
        <v>150.0</v>
      </c>
      <c r="D124" s="39">
        <v>6.0</v>
      </c>
      <c r="E124" s="40">
        <v>2.0</v>
      </c>
      <c r="F124" s="40">
        <v>6.0</v>
      </c>
      <c r="G124" s="72"/>
      <c r="H124" s="70">
        <v>6.0</v>
      </c>
      <c r="I124" s="23">
        <f t="shared" si="1"/>
        <v>2</v>
      </c>
      <c r="J124" s="73">
        <f t="shared" si="3"/>
        <v>300</v>
      </c>
      <c r="K124" s="25"/>
      <c r="L124" s="39"/>
      <c r="M124" s="42"/>
    </row>
    <row r="125" ht="21.0" customHeight="1">
      <c r="B125" s="74"/>
      <c r="J125" s="75">
        <f>SUM(J3:J124)</f>
        <v>6250</v>
      </c>
    </row>
    <row r="126" ht="21.0" customHeight="1">
      <c r="B126" s="74"/>
    </row>
    <row r="127" ht="84.0" customHeight="1">
      <c r="B127" s="74"/>
    </row>
    <row r="128" ht="21.0" customHeight="1">
      <c r="B128" s="74"/>
    </row>
    <row r="129" ht="101.25" customHeight="1">
      <c r="B129" s="74"/>
      <c r="C129" s="76" t="s">
        <v>136</v>
      </c>
      <c r="D129" s="77"/>
      <c r="E129" s="78"/>
      <c r="F129" s="79" t="s">
        <v>178</v>
      </c>
      <c r="G129" s="79" t="s">
        <v>179</v>
      </c>
      <c r="H129" s="79"/>
      <c r="I129" s="79"/>
      <c r="J129" s="79"/>
      <c r="K129" s="80"/>
      <c r="L129" s="81" t="s">
        <v>138</v>
      </c>
    </row>
    <row r="130" ht="21.0" customHeight="1">
      <c r="B130" s="74"/>
      <c r="C130" s="82" t="s">
        <v>139</v>
      </c>
      <c r="D130" s="83"/>
      <c r="E130" s="84"/>
      <c r="F130" s="138">
        <v>3750.0</v>
      </c>
      <c r="G130" s="138">
        <v>2500.0</v>
      </c>
      <c r="H130" s="86"/>
      <c r="I130" s="86"/>
      <c r="J130" s="86"/>
      <c r="K130" s="87"/>
      <c r="L130" s="88">
        <f>(E130+F130+G130+H130+I130+J130+K130)-J125</f>
        <v>0</v>
      </c>
    </row>
    <row r="131" ht="21.0" customHeight="1">
      <c r="B131" s="74"/>
      <c r="C131" s="89" t="s">
        <v>140</v>
      </c>
      <c r="D131" s="90"/>
      <c r="E131" s="91"/>
      <c r="F131" s="85">
        <v>80.0</v>
      </c>
      <c r="G131" s="85">
        <v>80.0</v>
      </c>
      <c r="H131" s="93"/>
      <c r="I131" s="93"/>
      <c r="J131" s="93"/>
      <c r="K131" s="94"/>
      <c r="L131" s="95"/>
    </row>
    <row r="132" ht="21.0" customHeight="1">
      <c r="B132" s="74"/>
      <c r="C132" s="89" t="s">
        <v>141</v>
      </c>
      <c r="D132" s="90"/>
      <c r="E132" s="91"/>
      <c r="F132" s="85">
        <v>50.0</v>
      </c>
      <c r="G132" s="93"/>
      <c r="H132" s="93"/>
      <c r="I132" s="93"/>
      <c r="J132" s="93"/>
      <c r="K132" s="94"/>
      <c r="L132" s="95"/>
    </row>
    <row r="133" ht="21.0" customHeight="1">
      <c r="B133" s="74"/>
      <c r="C133" s="89" t="s">
        <v>142</v>
      </c>
      <c r="D133" s="90"/>
      <c r="E133" s="91"/>
      <c r="F133" s="93"/>
      <c r="G133" s="93"/>
      <c r="H133" s="93"/>
      <c r="I133" s="93"/>
      <c r="J133" s="93"/>
      <c r="K133" s="94"/>
      <c r="L133" s="95"/>
    </row>
    <row r="134" ht="21.0" customHeight="1">
      <c r="B134" s="74"/>
      <c r="C134" s="89" t="s">
        <v>143</v>
      </c>
      <c r="D134" s="90"/>
      <c r="E134" s="91"/>
      <c r="F134" s="93"/>
      <c r="G134" s="93"/>
      <c r="H134" s="93"/>
      <c r="I134" s="93"/>
      <c r="J134" s="93"/>
      <c r="K134" s="94"/>
      <c r="L134" s="95"/>
    </row>
    <row r="135" ht="21.0" customHeight="1">
      <c r="B135" s="74"/>
      <c r="C135" s="89" t="s">
        <v>144</v>
      </c>
      <c r="D135" s="90"/>
      <c r="E135" s="91"/>
      <c r="F135" s="93"/>
      <c r="G135" s="93"/>
      <c r="H135" s="93"/>
      <c r="I135" s="93"/>
      <c r="J135" s="93"/>
      <c r="K135" s="94"/>
      <c r="L135" s="95"/>
    </row>
    <row r="136" ht="21.0" customHeight="1">
      <c r="B136" s="74"/>
      <c r="C136" s="89" t="s">
        <v>145</v>
      </c>
      <c r="D136" s="96"/>
      <c r="E136" s="91"/>
      <c r="F136" s="93"/>
      <c r="G136" s="93"/>
      <c r="H136" s="93"/>
      <c r="I136" s="93"/>
      <c r="J136" s="93"/>
      <c r="K136" s="94"/>
      <c r="L136" s="95"/>
    </row>
    <row r="137" ht="21.0" customHeight="1">
      <c r="B137" s="74"/>
      <c r="C137" s="139" t="s">
        <v>146</v>
      </c>
      <c r="D137" s="96"/>
      <c r="E137" s="91"/>
      <c r="F137" s="85">
        <v>150.0</v>
      </c>
      <c r="G137" s="93"/>
      <c r="H137" s="93"/>
      <c r="I137" s="93"/>
      <c r="J137" s="93"/>
      <c r="K137" s="94"/>
      <c r="L137" s="95"/>
    </row>
    <row r="138" ht="21.0" customHeight="1">
      <c r="B138" s="74"/>
      <c r="C138" s="139" t="s">
        <v>174</v>
      </c>
      <c r="D138" s="96"/>
      <c r="E138" s="91"/>
      <c r="F138" s="93"/>
      <c r="G138" s="93"/>
      <c r="H138" s="93"/>
      <c r="I138" s="93"/>
      <c r="J138" s="93"/>
      <c r="K138" s="94"/>
      <c r="L138" s="95"/>
    </row>
    <row r="139" ht="21.0" customHeight="1">
      <c r="B139" s="74"/>
      <c r="C139" s="139" t="s">
        <v>148</v>
      </c>
      <c r="D139" s="96"/>
      <c r="E139" s="91"/>
      <c r="F139" s="93"/>
      <c r="G139" s="93"/>
      <c r="H139" s="93"/>
      <c r="I139" s="93"/>
      <c r="J139" s="93"/>
      <c r="K139" s="94"/>
      <c r="L139" s="95"/>
    </row>
    <row r="140" ht="21.0" customHeight="1">
      <c r="B140" s="74"/>
      <c r="C140" s="139" t="s">
        <v>149</v>
      </c>
      <c r="D140" s="90"/>
      <c r="E140" s="91"/>
      <c r="F140" s="93"/>
      <c r="G140" s="93"/>
      <c r="H140" s="93"/>
      <c r="I140" s="93"/>
      <c r="J140" s="93"/>
      <c r="K140" s="94"/>
      <c r="L140" s="95"/>
    </row>
    <row r="141" ht="21.0" customHeight="1">
      <c r="B141" s="74"/>
      <c r="C141" s="139" t="s">
        <v>150</v>
      </c>
      <c r="D141" s="140"/>
      <c r="E141" s="91"/>
      <c r="F141" s="93"/>
      <c r="G141" s="93"/>
      <c r="H141" s="93"/>
      <c r="I141" s="93"/>
      <c r="J141" s="93"/>
      <c r="K141" s="94"/>
      <c r="L141" s="95"/>
    </row>
    <row r="142" ht="21.0" customHeight="1">
      <c r="B142" s="74"/>
      <c r="C142" s="139"/>
      <c r="D142" s="140" t="s">
        <v>180</v>
      </c>
      <c r="E142" s="91"/>
      <c r="F142" s="93"/>
      <c r="G142" s="93"/>
      <c r="H142" s="93"/>
      <c r="I142" s="93"/>
      <c r="J142" s="93"/>
      <c r="K142" s="94"/>
      <c r="L142" s="95"/>
    </row>
    <row r="143" ht="21.0" customHeight="1">
      <c r="B143" s="74"/>
      <c r="C143" s="139"/>
      <c r="D143" s="140"/>
      <c r="E143" s="91"/>
      <c r="F143" s="93"/>
      <c r="G143" s="93"/>
      <c r="H143" s="93"/>
      <c r="I143" s="93"/>
      <c r="J143" s="93"/>
      <c r="K143" s="94"/>
      <c r="L143" s="95"/>
    </row>
    <row r="144" ht="21.0" customHeight="1">
      <c r="C144" s="99" t="s">
        <v>152</v>
      </c>
      <c r="D144" s="100"/>
      <c r="E144" s="101"/>
      <c r="F144" s="102">
        <v>3470.0</v>
      </c>
      <c r="G144" s="102">
        <v>2420.0</v>
      </c>
      <c r="H144" s="103"/>
      <c r="I144" s="103"/>
      <c r="J144" s="103"/>
      <c r="K144" s="104"/>
      <c r="L144" s="95"/>
    </row>
    <row r="145" ht="21.0" customHeight="1">
      <c r="C145" s="105" t="s">
        <v>153</v>
      </c>
      <c r="D145" s="83"/>
      <c r="E145" s="106"/>
      <c r="F145" s="106">
        <f t="shared" ref="F145:K145" si="4">F130-F131-F132+F133+F134-F135-F136-F137-F138-F139-F140-F141-F142-F143</f>
        <v>3470</v>
      </c>
      <c r="G145" s="106">
        <f t="shared" si="4"/>
        <v>2420</v>
      </c>
      <c r="H145" s="106">
        <f t="shared" si="4"/>
        <v>0</v>
      </c>
      <c r="I145" s="106">
        <f t="shared" si="4"/>
        <v>0</v>
      </c>
      <c r="J145" s="106">
        <f t="shared" si="4"/>
        <v>0</v>
      </c>
      <c r="K145" s="106">
        <f t="shared" si="4"/>
        <v>0</v>
      </c>
      <c r="L145" s="95"/>
    </row>
    <row r="146" ht="21.0" customHeight="1">
      <c r="C146" s="107" t="s">
        <v>154</v>
      </c>
      <c r="D146" s="108"/>
      <c r="E146" s="109"/>
      <c r="F146" s="109">
        <f t="shared" ref="F146:K146" si="5">F144-F145</f>
        <v>0</v>
      </c>
      <c r="G146" s="109">
        <f t="shared" si="5"/>
        <v>0</v>
      </c>
      <c r="H146" s="109">
        <f t="shared" si="5"/>
        <v>0</v>
      </c>
      <c r="I146" s="109">
        <f t="shared" si="5"/>
        <v>0</v>
      </c>
      <c r="J146" s="109">
        <f t="shared" si="5"/>
        <v>0</v>
      </c>
      <c r="K146" s="110">
        <f t="shared" si="5"/>
        <v>0</v>
      </c>
      <c r="L146" s="111"/>
    </row>
    <row r="147" ht="26.25" customHeight="1">
      <c r="C147" s="112"/>
      <c r="D147" s="113"/>
      <c r="E147" s="113"/>
      <c r="F147" s="114"/>
      <c r="G147" s="114"/>
      <c r="H147" s="115" t="s">
        <v>155</v>
      </c>
      <c r="I147" s="6"/>
      <c r="J147" s="7"/>
      <c r="K147" s="116">
        <f>E146+F146+G146+H146+I146+J146+K146</f>
        <v>0</v>
      </c>
      <c r="L147" s="111"/>
    </row>
    <row r="148" ht="26.25" customHeight="1">
      <c r="C148" s="112"/>
      <c r="D148" s="113"/>
      <c r="E148" s="117"/>
      <c r="F148" s="114"/>
      <c r="G148" s="114"/>
      <c r="H148" s="118"/>
    </row>
    <row r="149" ht="33.75" customHeight="1">
      <c r="C149" s="74"/>
      <c r="E149" s="119" t="s">
        <v>156</v>
      </c>
      <c r="F149" s="77"/>
      <c r="G149" s="120">
        <f>J125</f>
        <v>6250</v>
      </c>
    </row>
    <row r="150" ht="24.75" customHeight="1">
      <c r="C150" s="74"/>
      <c r="E150" s="121" t="s">
        <v>157</v>
      </c>
      <c r="F150" s="122"/>
      <c r="G150" s="120">
        <f>E144+F144+G144+H144+I144+J144+K144</f>
        <v>5890</v>
      </c>
    </row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E1"/>
    <mergeCell ref="F1:M1"/>
    <mergeCell ref="C129:D129"/>
    <mergeCell ref="C130:D130"/>
    <mergeCell ref="C131:D131"/>
    <mergeCell ref="C132:D132"/>
    <mergeCell ref="C133:D133"/>
    <mergeCell ref="C144:D144"/>
    <mergeCell ref="C145:D145"/>
    <mergeCell ref="C146:D146"/>
    <mergeCell ref="H147:J147"/>
    <mergeCell ref="E149:F149"/>
    <mergeCell ref="E150:F150"/>
    <mergeCell ref="C134:D134"/>
    <mergeCell ref="C135:D135"/>
    <mergeCell ref="C136:D136"/>
    <mergeCell ref="C137:D137"/>
    <mergeCell ref="C138:D138"/>
    <mergeCell ref="C139:D139"/>
    <mergeCell ref="C140:D14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57"/>
    <col customWidth="1" min="3" max="3" width="36.0"/>
    <col customWidth="1" min="4" max="4" width="9.43"/>
    <col customWidth="1" min="5" max="6" width="8.86"/>
    <col customWidth="1" min="7" max="7" width="8.57"/>
    <col customWidth="1" min="8" max="8" width="42.0"/>
    <col customWidth="1" min="9" max="11" width="8.86"/>
  </cols>
  <sheetData>
    <row r="1" ht="15.0" customHeight="1">
      <c r="D1" s="74"/>
      <c r="E1" s="74"/>
      <c r="F1" s="74"/>
      <c r="I1" s="74"/>
      <c r="J1" s="74"/>
      <c r="K1" s="74"/>
    </row>
    <row r="2" ht="14.25" customHeight="1">
      <c r="B2" s="156"/>
      <c r="C2" s="157"/>
      <c r="D2" s="157" t="s">
        <v>181</v>
      </c>
      <c r="E2" s="157" t="s">
        <v>182</v>
      </c>
      <c r="F2" s="157" t="s">
        <v>183</v>
      </c>
      <c r="G2" s="157"/>
      <c r="H2" s="157"/>
      <c r="I2" s="157" t="s">
        <v>181</v>
      </c>
      <c r="J2" s="157" t="s">
        <v>182</v>
      </c>
      <c r="K2" s="158" t="s">
        <v>183</v>
      </c>
    </row>
    <row r="3" ht="18.0" customHeight="1">
      <c r="B3" s="159"/>
      <c r="C3" s="160"/>
      <c r="D3" s="161" t="s">
        <v>184</v>
      </c>
      <c r="E3" s="161" t="s">
        <v>185</v>
      </c>
      <c r="F3" s="161" t="s">
        <v>186</v>
      </c>
      <c r="G3" s="162"/>
      <c r="H3" s="163"/>
      <c r="I3" s="164" t="s">
        <v>184</v>
      </c>
      <c r="J3" s="164" t="s">
        <v>185</v>
      </c>
      <c r="K3" s="165" t="s">
        <v>186</v>
      </c>
    </row>
    <row r="4" ht="18.0" customHeight="1">
      <c r="B4" s="166">
        <v>1.0</v>
      </c>
      <c r="C4" s="167" t="s">
        <v>14</v>
      </c>
      <c r="D4" s="168" t="str">
        <f t="shared" ref="D4:D64" si="1">' JVC'!K3</f>
        <v>#REF!</v>
      </c>
      <c r="E4" s="168" t="str">
        <f>Tikom!K3</f>
        <v/>
      </c>
      <c r="F4" s="168" t="str">
        <f>Selicon!K3</f>
        <v/>
      </c>
      <c r="G4" s="169">
        <v>62.0</v>
      </c>
      <c r="H4" s="167" t="s">
        <v>75</v>
      </c>
      <c r="I4" s="168" t="str">
        <f t="shared" ref="I4:I64" si="2">' JVC'!K64</f>
        <v>#REF!</v>
      </c>
      <c r="J4" s="168" t="str">
        <f>Tikom!K64</f>
        <v/>
      </c>
      <c r="K4" s="170" t="str">
        <f>Selicon!K64</f>
        <v/>
      </c>
    </row>
    <row r="5" ht="18.0" customHeight="1">
      <c r="B5" s="166">
        <v>2.0</v>
      </c>
      <c r="C5" s="167" t="s">
        <v>15</v>
      </c>
      <c r="D5" s="168" t="str">
        <f t="shared" si="1"/>
        <v>#REF!</v>
      </c>
      <c r="E5" s="168" t="str">
        <f>Tikom!K4</f>
        <v/>
      </c>
      <c r="F5" s="168" t="str">
        <f>Selicon!K4</f>
        <v/>
      </c>
      <c r="G5" s="169">
        <v>63.0</v>
      </c>
      <c r="H5" s="167" t="s">
        <v>76</v>
      </c>
      <c r="I5" s="168" t="str">
        <f t="shared" si="2"/>
        <v>#REF!</v>
      </c>
      <c r="J5" s="168" t="str">
        <f>Tikom!K65</f>
        <v/>
      </c>
      <c r="K5" s="170" t="str">
        <f>Selicon!K65</f>
        <v/>
      </c>
    </row>
    <row r="6" ht="18.0" customHeight="1">
      <c r="B6" s="171">
        <v>3.0</v>
      </c>
      <c r="C6" s="167" t="s">
        <v>16</v>
      </c>
      <c r="D6" s="168" t="str">
        <f t="shared" si="1"/>
        <v>#REF!</v>
      </c>
      <c r="E6" s="168" t="str">
        <f>Tikom!K5</f>
        <v/>
      </c>
      <c r="F6" s="168" t="str">
        <f>Selicon!K5</f>
        <v/>
      </c>
      <c r="G6" s="172">
        <v>64.0</v>
      </c>
      <c r="H6" s="167" t="s">
        <v>77</v>
      </c>
      <c r="I6" s="168" t="str">
        <f t="shared" si="2"/>
        <v>#REF!</v>
      </c>
      <c r="J6" s="168" t="str">
        <f>Tikom!K66</f>
        <v/>
      </c>
      <c r="K6" s="170" t="str">
        <f>Selicon!K66</f>
        <v/>
      </c>
    </row>
    <row r="7" ht="18.0" customHeight="1">
      <c r="B7" s="171">
        <v>4.0</v>
      </c>
      <c r="C7" s="167" t="s">
        <v>17</v>
      </c>
      <c r="D7" s="168" t="str">
        <f t="shared" si="1"/>
        <v>#REF!</v>
      </c>
      <c r="E7" s="168" t="str">
        <f>Tikom!K6</f>
        <v/>
      </c>
      <c r="F7" s="168" t="str">
        <f>Selicon!K6</f>
        <v/>
      </c>
      <c r="G7" s="172">
        <v>65.0</v>
      </c>
      <c r="H7" s="167" t="s">
        <v>78</v>
      </c>
      <c r="I7" s="168" t="str">
        <f t="shared" si="2"/>
        <v>#REF!</v>
      </c>
      <c r="J7" s="168" t="str">
        <f>Tikom!K67</f>
        <v/>
      </c>
      <c r="K7" s="170" t="str">
        <f>Selicon!K67</f>
        <v/>
      </c>
    </row>
    <row r="8" ht="18.0" customHeight="1">
      <c r="B8" s="171">
        <v>5.0</v>
      </c>
      <c r="C8" s="167" t="s">
        <v>18</v>
      </c>
      <c r="D8" s="168" t="str">
        <f t="shared" si="1"/>
        <v>#REF!</v>
      </c>
      <c r="E8" s="168" t="str">
        <f>Tikom!K7</f>
        <v/>
      </c>
      <c r="F8" s="168" t="str">
        <f>Selicon!K7</f>
        <v/>
      </c>
      <c r="G8" s="172">
        <v>66.0</v>
      </c>
      <c r="H8" s="167" t="s">
        <v>79</v>
      </c>
      <c r="I8" s="168" t="str">
        <f t="shared" si="2"/>
        <v>#REF!</v>
      </c>
      <c r="J8" s="168" t="str">
        <f>Tikom!K68</f>
        <v/>
      </c>
      <c r="K8" s="170" t="str">
        <f>Selicon!K68</f>
        <v/>
      </c>
    </row>
    <row r="9" ht="18.0" customHeight="1">
      <c r="B9" s="171">
        <v>6.0</v>
      </c>
      <c r="C9" s="167" t="s">
        <v>19</v>
      </c>
      <c r="D9" s="168" t="str">
        <f t="shared" si="1"/>
        <v>#REF!</v>
      </c>
      <c r="E9" s="168" t="str">
        <f>Tikom!K8</f>
        <v/>
      </c>
      <c r="F9" s="168" t="str">
        <f>Selicon!K8</f>
        <v/>
      </c>
      <c r="G9" s="172">
        <v>67.0</v>
      </c>
      <c r="H9" s="167" t="s">
        <v>80</v>
      </c>
      <c r="I9" s="168" t="str">
        <f t="shared" si="2"/>
        <v>#REF!</v>
      </c>
      <c r="J9" s="168" t="str">
        <f>Tikom!K69</f>
        <v/>
      </c>
      <c r="K9" s="170" t="str">
        <f>Selicon!K69</f>
        <v/>
      </c>
    </row>
    <row r="10" ht="18.0" customHeight="1">
      <c r="B10" s="171">
        <v>7.0</v>
      </c>
      <c r="C10" s="167" t="s">
        <v>20</v>
      </c>
      <c r="D10" s="168" t="str">
        <f t="shared" si="1"/>
        <v>#REF!</v>
      </c>
      <c r="E10" s="168" t="str">
        <f>Tikom!K9</f>
        <v/>
      </c>
      <c r="F10" s="168" t="str">
        <f>Selicon!K9</f>
        <v/>
      </c>
      <c r="G10" s="172">
        <v>68.0</v>
      </c>
      <c r="H10" s="167" t="s">
        <v>81</v>
      </c>
      <c r="I10" s="168" t="str">
        <f t="shared" si="2"/>
        <v>#REF!</v>
      </c>
      <c r="J10" s="168" t="str">
        <f>Tikom!K70</f>
        <v/>
      </c>
      <c r="K10" s="170" t="str">
        <f>Selicon!K70</f>
        <v/>
      </c>
    </row>
    <row r="11" ht="18.0" customHeight="1">
      <c r="B11" s="171">
        <v>8.0</v>
      </c>
      <c r="C11" s="167" t="s">
        <v>21</v>
      </c>
      <c r="D11" s="168" t="str">
        <f t="shared" si="1"/>
        <v>#REF!</v>
      </c>
      <c r="E11" s="168" t="str">
        <f>Tikom!K10</f>
        <v/>
      </c>
      <c r="F11" s="168" t="str">
        <f>Selicon!K10</f>
        <v/>
      </c>
      <c r="G11" s="172">
        <v>69.0</v>
      </c>
      <c r="H11" s="167" t="s">
        <v>82</v>
      </c>
      <c r="I11" s="168" t="str">
        <f t="shared" si="2"/>
        <v>#REF!</v>
      </c>
      <c r="J11" s="168" t="str">
        <f>Tikom!K71</f>
        <v/>
      </c>
      <c r="K11" s="170" t="str">
        <f>Selicon!K71</f>
        <v/>
      </c>
    </row>
    <row r="12" ht="18.0" customHeight="1">
      <c r="B12" s="171">
        <v>9.0</v>
      </c>
      <c r="C12" s="167" t="s">
        <v>22</v>
      </c>
      <c r="D12" s="168" t="str">
        <f t="shared" si="1"/>
        <v>#REF!</v>
      </c>
      <c r="E12" s="168" t="str">
        <f>Tikom!K11</f>
        <v/>
      </c>
      <c r="F12" s="168" t="str">
        <f>Selicon!K11</f>
        <v/>
      </c>
      <c r="G12" s="172">
        <v>70.0</v>
      </c>
      <c r="H12" s="167" t="s">
        <v>83</v>
      </c>
      <c r="I12" s="168" t="str">
        <f t="shared" si="2"/>
        <v>#REF!</v>
      </c>
      <c r="J12" s="168" t="str">
        <f>Tikom!K72</f>
        <v/>
      </c>
      <c r="K12" s="170" t="str">
        <f>Selicon!K72</f>
        <v/>
      </c>
    </row>
    <row r="13" ht="18.0" customHeight="1">
      <c r="B13" s="171">
        <v>10.0</v>
      </c>
      <c r="C13" s="167" t="s">
        <v>23</v>
      </c>
      <c r="D13" s="168" t="str">
        <f t="shared" si="1"/>
        <v>#REF!</v>
      </c>
      <c r="E13" s="168" t="str">
        <f>Tikom!K12</f>
        <v/>
      </c>
      <c r="F13" s="168" t="str">
        <f>Selicon!K12</f>
        <v/>
      </c>
      <c r="G13" s="172">
        <v>71.0</v>
      </c>
      <c r="H13" s="167" t="s">
        <v>84</v>
      </c>
      <c r="I13" s="168" t="str">
        <f t="shared" si="2"/>
        <v>#REF!</v>
      </c>
      <c r="J13" s="168" t="str">
        <f>Tikom!K73</f>
        <v/>
      </c>
      <c r="K13" s="170" t="str">
        <f>Selicon!K73</f>
        <v/>
      </c>
    </row>
    <row r="14" ht="18.0" customHeight="1">
      <c r="B14" s="171">
        <v>11.0</v>
      </c>
      <c r="C14" s="167" t="s">
        <v>24</v>
      </c>
      <c r="D14" s="168" t="str">
        <f t="shared" si="1"/>
        <v>#REF!</v>
      </c>
      <c r="E14" s="168" t="str">
        <f>Tikom!K13</f>
        <v/>
      </c>
      <c r="F14" s="168" t="str">
        <f>Selicon!K13</f>
        <v/>
      </c>
      <c r="G14" s="172">
        <v>72.0</v>
      </c>
      <c r="H14" s="167" t="s">
        <v>85</v>
      </c>
      <c r="I14" s="168" t="str">
        <f t="shared" si="2"/>
        <v>#REF!</v>
      </c>
      <c r="J14" s="168" t="str">
        <f>Tikom!K74</f>
        <v/>
      </c>
      <c r="K14" s="170" t="str">
        <f>Selicon!K74</f>
        <v/>
      </c>
    </row>
    <row r="15" ht="18.0" customHeight="1">
      <c r="B15" s="171">
        <v>12.0</v>
      </c>
      <c r="C15" s="167" t="s">
        <v>25</v>
      </c>
      <c r="D15" s="168" t="str">
        <f t="shared" si="1"/>
        <v>#REF!</v>
      </c>
      <c r="E15" s="168" t="str">
        <f>Tikom!K14</f>
        <v/>
      </c>
      <c r="F15" s="168" t="str">
        <f>Selicon!K14</f>
        <v/>
      </c>
      <c r="G15" s="172">
        <v>73.0</v>
      </c>
      <c r="H15" s="167" t="s">
        <v>86</v>
      </c>
      <c r="I15" s="168" t="str">
        <f t="shared" si="2"/>
        <v>#REF!</v>
      </c>
      <c r="J15" s="168" t="str">
        <f>Tikom!K75</f>
        <v/>
      </c>
      <c r="K15" s="170" t="str">
        <f>Selicon!K75</f>
        <v/>
      </c>
    </row>
    <row r="16" ht="18.0" customHeight="1">
      <c r="B16" s="171">
        <v>13.0</v>
      </c>
      <c r="C16" s="167" t="s">
        <v>26</v>
      </c>
      <c r="D16" s="168" t="str">
        <f t="shared" si="1"/>
        <v>#REF!</v>
      </c>
      <c r="E16" s="168" t="str">
        <f>Tikom!K15</f>
        <v/>
      </c>
      <c r="F16" s="168" t="str">
        <f>Selicon!K15</f>
        <v/>
      </c>
      <c r="G16" s="172">
        <v>74.0</v>
      </c>
      <c r="H16" s="167" t="s">
        <v>87</v>
      </c>
      <c r="I16" s="168" t="str">
        <f t="shared" si="2"/>
        <v>#REF!</v>
      </c>
      <c r="J16" s="168" t="str">
        <f>Tikom!K76</f>
        <v/>
      </c>
      <c r="K16" s="170" t="str">
        <f>Selicon!K76</f>
        <v/>
      </c>
    </row>
    <row r="17" ht="18.0" customHeight="1">
      <c r="B17" s="171">
        <v>14.0</v>
      </c>
      <c r="C17" s="167" t="s">
        <v>27</v>
      </c>
      <c r="D17" s="168" t="str">
        <f t="shared" si="1"/>
        <v>#REF!</v>
      </c>
      <c r="E17" s="168" t="str">
        <f>Tikom!K16</f>
        <v/>
      </c>
      <c r="F17" s="168" t="str">
        <f>Selicon!K16</f>
        <v/>
      </c>
      <c r="G17" s="172">
        <v>75.0</v>
      </c>
      <c r="H17" s="167" t="s">
        <v>88</v>
      </c>
      <c r="I17" s="168" t="str">
        <f t="shared" si="2"/>
        <v>#REF!</v>
      </c>
      <c r="J17" s="168" t="str">
        <f>Tikom!K77</f>
        <v/>
      </c>
      <c r="K17" s="170" t="str">
        <f>Selicon!K77</f>
        <v/>
      </c>
    </row>
    <row r="18" ht="18.0" customHeight="1">
      <c r="B18" s="171">
        <v>15.0</v>
      </c>
      <c r="C18" s="167" t="s">
        <v>28</v>
      </c>
      <c r="D18" s="168" t="str">
        <f t="shared" si="1"/>
        <v>#REF!</v>
      </c>
      <c r="E18" s="168" t="str">
        <f>Tikom!K17</f>
        <v/>
      </c>
      <c r="F18" s="168" t="str">
        <f>Selicon!K17</f>
        <v/>
      </c>
      <c r="G18" s="172">
        <v>76.0</v>
      </c>
      <c r="H18" s="167" t="s">
        <v>89</v>
      </c>
      <c r="I18" s="168" t="str">
        <f t="shared" si="2"/>
        <v>#REF!</v>
      </c>
      <c r="J18" s="168" t="str">
        <f>Tikom!K78</f>
        <v/>
      </c>
      <c r="K18" s="170" t="str">
        <f>Selicon!K78</f>
        <v/>
      </c>
    </row>
    <row r="19" ht="18.0" customHeight="1">
      <c r="B19" s="171">
        <v>16.0</v>
      </c>
      <c r="C19" s="167" t="s">
        <v>29</v>
      </c>
      <c r="D19" s="168" t="str">
        <f t="shared" si="1"/>
        <v>#REF!</v>
      </c>
      <c r="E19" s="168" t="str">
        <f>Tikom!K18</f>
        <v/>
      </c>
      <c r="F19" s="168" t="str">
        <f>Selicon!K18</f>
        <v/>
      </c>
      <c r="G19" s="172">
        <v>77.0</v>
      </c>
      <c r="H19" s="167" t="s">
        <v>90</v>
      </c>
      <c r="I19" s="168" t="str">
        <f t="shared" si="2"/>
        <v>#REF!</v>
      </c>
      <c r="J19" s="168" t="str">
        <f>Tikom!K79</f>
        <v/>
      </c>
      <c r="K19" s="170" t="str">
        <f>Selicon!K79</f>
        <v/>
      </c>
    </row>
    <row r="20" ht="18.0" customHeight="1">
      <c r="B20" s="171">
        <v>17.0</v>
      </c>
      <c r="C20" s="167" t="s">
        <v>30</v>
      </c>
      <c r="D20" s="168" t="str">
        <f t="shared" si="1"/>
        <v>#REF!</v>
      </c>
      <c r="E20" s="168" t="str">
        <f>Tikom!K19</f>
        <v/>
      </c>
      <c r="F20" s="168" t="str">
        <f>Selicon!K19</f>
        <v/>
      </c>
      <c r="G20" s="172">
        <v>78.0</v>
      </c>
      <c r="H20" s="167" t="s">
        <v>91</v>
      </c>
      <c r="I20" s="168" t="str">
        <f t="shared" si="2"/>
        <v>#REF!</v>
      </c>
      <c r="J20" s="168" t="str">
        <f>Tikom!K80</f>
        <v/>
      </c>
      <c r="K20" s="170" t="str">
        <f>Selicon!K80</f>
        <v/>
      </c>
    </row>
    <row r="21" ht="18.0" customHeight="1">
      <c r="B21" s="171">
        <v>18.0</v>
      </c>
      <c r="C21" s="167" t="s">
        <v>31</v>
      </c>
      <c r="D21" s="168" t="str">
        <f t="shared" si="1"/>
        <v>#REF!</v>
      </c>
      <c r="E21" s="168" t="str">
        <f>Tikom!K20</f>
        <v/>
      </c>
      <c r="F21" s="168" t="str">
        <f>Selicon!K20</f>
        <v/>
      </c>
      <c r="G21" s="172">
        <v>79.0</v>
      </c>
      <c r="H21" s="167" t="s">
        <v>92</v>
      </c>
      <c r="I21" s="168" t="str">
        <f t="shared" si="2"/>
        <v>#REF!</v>
      </c>
      <c r="J21" s="168" t="str">
        <f>Tikom!K81</f>
        <v/>
      </c>
      <c r="K21" s="170" t="str">
        <f>Selicon!K81</f>
        <v/>
      </c>
    </row>
    <row r="22" ht="18.0" customHeight="1">
      <c r="B22" s="171">
        <v>19.0</v>
      </c>
      <c r="C22" s="167" t="s">
        <v>32</v>
      </c>
      <c r="D22" s="168" t="str">
        <f t="shared" si="1"/>
        <v>#REF!</v>
      </c>
      <c r="E22" s="168" t="str">
        <f>Tikom!K21</f>
        <v/>
      </c>
      <c r="F22" s="168" t="str">
        <f>Selicon!K21</f>
        <v/>
      </c>
      <c r="G22" s="172">
        <v>80.0</v>
      </c>
      <c r="H22" s="167" t="s">
        <v>93</v>
      </c>
      <c r="I22" s="168" t="str">
        <f t="shared" si="2"/>
        <v>#REF!</v>
      </c>
      <c r="J22" s="168" t="str">
        <f>Tikom!K82</f>
        <v/>
      </c>
      <c r="K22" s="170" t="str">
        <f>Selicon!K82</f>
        <v/>
      </c>
    </row>
    <row r="23" ht="18.0" customHeight="1">
      <c r="B23" s="171">
        <v>20.0</v>
      </c>
      <c r="C23" s="167" t="s">
        <v>33</v>
      </c>
      <c r="D23" s="168" t="str">
        <f t="shared" si="1"/>
        <v>#REF!</v>
      </c>
      <c r="E23" s="168" t="str">
        <f>Tikom!K22</f>
        <v/>
      </c>
      <c r="F23" s="168" t="str">
        <f>Selicon!K22</f>
        <v/>
      </c>
      <c r="G23" s="172">
        <v>81.0</v>
      </c>
      <c r="H23" s="167" t="s">
        <v>94</v>
      </c>
      <c r="I23" s="168" t="str">
        <f t="shared" si="2"/>
        <v>#REF!</v>
      </c>
      <c r="J23" s="168" t="str">
        <f>Tikom!K83</f>
        <v/>
      </c>
      <c r="K23" s="170" t="str">
        <f>Selicon!K83</f>
        <v/>
      </c>
    </row>
    <row r="24" ht="18.0" customHeight="1">
      <c r="B24" s="171">
        <v>21.0</v>
      </c>
      <c r="C24" s="167" t="s">
        <v>34</v>
      </c>
      <c r="D24" s="168" t="str">
        <f t="shared" si="1"/>
        <v>#REF!</v>
      </c>
      <c r="E24" s="168" t="str">
        <f>Tikom!K23</f>
        <v/>
      </c>
      <c r="F24" s="168" t="str">
        <f>Selicon!K23</f>
        <v/>
      </c>
      <c r="G24" s="172">
        <v>82.0</v>
      </c>
      <c r="H24" s="167" t="s">
        <v>95</v>
      </c>
      <c r="I24" s="168" t="str">
        <f t="shared" si="2"/>
        <v>#REF!</v>
      </c>
      <c r="J24" s="168" t="str">
        <f>Tikom!K84</f>
        <v/>
      </c>
      <c r="K24" s="170" t="str">
        <f>Selicon!K84</f>
        <v/>
      </c>
    </row>
    <row r="25" ht="18.0" customHeight="1">
      <c r="B25" s="171">
        <v>22.0</v>
      </c>
      <c r="C25" s="167" t="s">
        <v>35</v>
      </c>
      <c r="D25" s="168" t="str">
        <f t="shared" si="1"/>
        <v>#REF!</v>
      </c>
      <c r="E25" s="168" t="str">
        <f>Tikom!K24</f>
        <v/>
      </c>
      <c r="F25" s="168" t="str">
        <f>Selicon!K24</f>
        <v/>
      </c>
      <c r="G25" s="172">
        <v>83.0</v>
      </c>
      <c r="H25" s="167" t="s">
        <v>96</v>
      </c>
      <c r="I25" s="168" t="str">
        <f t="shared" si="2"/>
        <v>#REF!</v>
      </c>
      <c r="J25" s="168" t="str">
        <f>Tikom!K85</f>
        <v/>
      </c>
      <c r="K25" s="170" t="str">
        <f>Selicon!K85</f>
        <v/>
      </c>
    </row>
    <row r="26" ht="18.0" customHeight="1">
      <c r="B26" s="171">
        <v>23.0</v>
      </c>
      <c r="C26" s="167" t="s">
        <v>36</v>
      </c>
      <c r="D26" s="168" t="str">
        <f t="shared" si="1"/>
        <v>#REF!</v>
      </c>
      <c r="E26" s="168" t="str">
        <f>Tikom!K25</f>
        <v/>
      </c>
      <c r="F26" s="168" t="str">
        <f>Selicon!K25</f>
        <v/>
      </c>
      <c r="G26" s="172">
        <v>84.0</v>
      </c>
      <c r="H26" s="167" t="s">
        <v>97</v>
      </c>
      <c r="I26" s="168" t="str">
        <f t="shared" si="2"/>
        <v>#REF!</v>
      </c>
      <c r="J26" s="168" t="str">
        <f>Tikom!K86</f>
        <v/>
      </c>
      <c r="K26" s="170" t="str">
        <f>Selicon!K86</f>
        <v/>
      </c>
    </row>
    <row r="27" ht="18.0" customHeight="1">
      <c r="B27" s="171">
        <v>24.0</v>
      </c>
      <c r="C27" s="167" t="s">
        <v>37</v>
      </c>
      <c r="D27" s="168" t="str">
        <f t="shared" si="1"/>
        <v>#REF!</v>
      </c>
      <c r="E27" s="168" t="str">
        <f>Tikom!K26</f>
        <v/>
      </c>
      <c r="F27" s="168" t="str">
        <f>Selicon!K26</f>
        <v/>
      </c>
      <c r="G27" s="172">
        <v>85.0</v>
      </c>
      <c r="H27" s="167" t="s">
        <v>98</v>
      </c>
      <c r="I27" s="168" t="str">
        <f t="shared" si="2"/>
        <v>#REF!</v>
      </c>
      <c r="J27" s="168" t="str">
        <f>Tikom!K87</f>
        <v/>
      </c>
      <c r="K27" s="170" t="str">
        <f>Selicon!K87</f>
        <v/>
      </c>
    </row>
    <row r="28" ht="18.0" customHeight="1">
      <c r="B28" s="171">
        <v>25.0</v>
      </c>
      <c r="C28" s="167" t="s">
        <v>38</v>
      </c>
      <c r="D28" s="168" t="str">
        <f t="shared" si="1"/>
        <v>#REF!</v>
      </c>
      <c r="E28" s="168" t="str">
        <f>Tikom!K27</f>
        <v/>
      </c>
      <c r="F28" s="168" t="str">
        <f>Selicon!K27</f>
        <v/>
      </c>
      <c r="G28" s="172">
        <v>86.0</v>
      </c>
      <c r="H28" s="167" t="s">
        <v>99</v>
      </c>
      <c r="I28" s="168" t="str">
        <f t="shared" si="2"/>
        <v>#REF!</v>
      </c>
      <c r="J28" s="168" t="str">
        <f>Tikom!K88</f>
        <v/>
      </c>
      <c r="K28" s="170" t="str">
        <f>Selicon!K88</f>
        <v/>
      </c>
    </row>
    <row r="29" ht="18.0" customHeight="1">
      <c r="B29" s="171">
        <v>26.0</v>
      </c>
      <c r="C29" s="167" t="s">
        <v>39</v>
      </c>
      <c r="D29" s="168" t="str">
        <f t="shared" si="1"/>
        <v>#REF!</v>
      </c>
      <c r="E29" s="168" t="str">
        <f>Tikom!K28</f>
        <v/>
      </c>
      <c r="F29" s="168" t="str">
        <f>Selicon!K28</f>
        <v/>
      </c>
      <c r="G29" s="172">
        <v>87.0</v>
      </c>
      <c r="H29" s="167" t="s">
        <v>100</v>
      </c>
      <c r="I29" s="168" t="str">
        <f t="shared" si="2"/>
        <v>#REF!</v>
      </c>
      <c r="J29" s="168" t="str">
        <f>Tikom!K89</f>
        <v/>
      </c>
      <c r="K29" s="170" t="str">
        <f>Selicon!K89</f>
        <v/>
      </c>
    </row>
    <row r="30" ht="18.0" customHeight="1">
      <c r="B30" s="171">
        <v>27.0</v>
      </c>
      <c r="C30" s="167" t="s">
        <v>40</v>
      </c>
      <c r="D30" s="168" t="str">
        <f t="shared" si="1"/>
        <v>#REF!</v>
      </c>
      <c r="E30" s="168" t="str">
        <f>Tikom!K29</f>
        <v/>
      </c>
      <c r="F30" s="168" t="str">
        <f>Selicon!K29</f>
        <v/>
      </c>
      <c r="G30" s="172">
        <v>88.0</v>
      </c>
      <c r="H30" s="167" t="s">
        <v>101</v>
      </c>
      <c r="I30" s="168" t="str">
        <f t="shared" si="2"/>
        <v>#REF!</v>
      </c>
      <c r="J30" s="168" t="str">
        <f>Tikom!K90</f>
        <v/>
      </c>
      <c r="K30" s="170" t="str">
        <f>Selicon!K90</f>
        <v/>
      </c>
    </row>
    <row r="31" ht="18.0" customHeight="1">
      <c r="B31" s="171">
        <v>28.0</v>
      </c>
      <c r="C31" s="167" t="s">
        <v>41</v>
      </c>
      <c r="D31" s="168" t="str">
        <f t="shared" si="1"/>
        <v>#REF!</v>
      </c>
      <c r="E31" s="168" t="str">
        <f>Tikom!K30</f>
        <v/>
      </c>
      <c r="F31" s="168" t="str">
        <f>Selicon!K30</f>
        <v/>
      </c>
      <c r="G31" s="172">
        <v>89.0</v>
      </c>
      <c r="H31" s="167" t="s">
        <v>102</v>
      </c>
      <c r="I31" s="168" t="str">
        <f t="shared" si="2"/>
        <v>#REF!</v>
      </c>
      <c r="J31" s="168" t="str">
        <f>Tikom!K91</f>
        <v/>
      </c>
      <c r="K31" s="170" t="str">
        <f>Selicon!K91</f>
        <v/>
      </c>
    </row>
    <row r="32" ht="18.0" customHeight="1">
      <c r="B32" s="171">
        <v>29.0</v>
      </c>
      <c r="C32" s="167" t="s">
        <v>42</v>
      </c>
      <c r="D32" s="168" t="str">
        <f t="shared" si="1"/>
        <v>#REF!</v>
      </c>
      <c r="E32" s="168" t="str">
        <f>Tikom!K31</f>
        <v/>
      </c>
      <c r="F32" s="168" t="str">
        <f>Selicon!K31</f>
        <v/>
      </c>
      <c r="G32" s="172">
        <v>90.0</v>
      </c>
      <c r="H32" s="167" t="s">
        <v>103</v>
      </c>
      <c r="I32" s="168" t="str">
        <f t="shared" si="2"/>
        <v>#REF!</v>
      </c>
      <c r="J32" s="168" t="str">
        <f>Tikom!K92</f>
        <v/>
      </c>
      <c r="K32" s="170" t="str">
        <f>Selicon!K92</f>
        <v/>
      </c>
    </row>
    <row r="33" ht="18.0" customHeight="1">
      <c r="B33" s="171">
        <v>30.0</v>
      </c>
      <c r="C33" s="167" t="s">
        <v>43</v>
      </c>
      <c r="D33" s="168" t="str">
        <f t="shared" si="1"/>
        <v>#REF!</v>
      </c>
      <c r="E33" s="168" t="str">
        <f>Tikom!K32</f>
        <v/>
      </c>
      <c r="F33" s="168" t="str">
        <f>Selicon!K32</f>
        <v/>
      </c>
      <c r="G33" s="172">
        <v>91.0</v>
      </c>
      <c r="H33" s="167" t="s">
        <v>104</v>
      </c>
      <c r="I33" s="168" t="str">
        <f t="shared" si="2"/>
        <v>#REF!</v>
      </c>
      <c r="J33" s="168" t="str">
        <f>Tikom!K93</f>
        <v/>
      </c>
      <c r="K33" s="170" t="str">
        <f>Selicon!K93</f>
        <v/>
      </c>
    </row>
    <row r="34" ht="18.0" customHeight="1">
      <c r="B34" s="171">
        <v>31.0</v>
      </c>
      <c r="C34" s="167" t="s">
        <v>44</v>
      </c>
      <c r="D34" s="168" t="str">
        <f t="shared" si="1"/>
        <v>#REF!</v>
      </c>
      <c r="E34" s="168" t="str">
        <f>Tikom!K33</f>
        <v/>
      </c>
      <c r="F34" s="168" t="str">
        <f>Selicon!K33</f>
        <v/>
      </c>
      <c r="G34" s="172">
        <v>92.0</v>
      </c>
      <c r="H34" s="167" t="s">
        <v>105</v>
      </c>
      <c r="I34" s="168" t="str">
        <f t="shared" si="2"/>
        <v>#REF!</v>
      </c>
      <c r="J34" s="168" t="str">
        <f>Tikom!K94</f>
        <v/>
      </c>
      <c r="K34" s="170" t="str">
        <f>Selicon!K94</f>
        <v/>
      </c>
    </row>
    <row r="35" ht="18.0" customHeight="1">
      <c r="B35" s="171">
        <v>32.0</v>
      </c>
      <c r="C35" s="167" t="s">
        <v>45</v>
      </c>
      <c r="D35" s="168" t="str">
        <f t="shared" si="1"/>
        <v>#REF!</v>
      </c>
      <c r="E35" s="168" t="str">
        <f>Tikom!K34</f>
        <v/>
      </c>
      <c r="F35" s="168" t="str">
        <f>Selicon!K34</f>
        <v/>
      </c>
      <c r="G35" s="169">
        <v>93.0</v>
      </c>
      <c r="H35" s="167" t="s">
        <v>106</v>
      </c>
      <c r="I35" s="168" t="str">
        <f t="shared" si="2"/>
        <v>#REF!</v>
      </c>
      <c r="J35" s="168" t="str">
        <f>Tikom!K95</f>
        <v/>
      </c>
      <c r="K35" s="170" t="str">
        <f>Selicon!K95</f>
        <v/>
      </c>
    </row>
    <row r="36" ht="18.0" customHeight="1">
      <c r="B36" s="171">
        <v>33.0</v>
      </c>
      <c r="C36" s="167" t="s">
        <v>46</v>
      </c>
      <c r="D36" s="168" t="str">
        <f t="shared" si="1"/>
        <v>#REF!</v>
      </c>
      <c r="E36" s="168" t="str">
        <f>Tikom!K35</f>
        <v/>
      </c>
      <c r="F36" s="168" t="str">
        <f>Selicon!K35</f>
        <v/>
      </c>
      <c r="G36" s="172">
        <v>94.0</v>
      </c>
      <c r="H36" s="167" t="s">
        <v>107</v>
      </c>
      <c r="I36" s="168" t="str">
        <f t="shared" si="2"/>
        <v>#REF!</v>
      </c>
      <c r="J36" s="168" t="str">
        <f>Tikom!K96</f>
        <v/>
      </c>
      <c r="K36" s="170" t="str">
        <f>Selicon!K96</f>
        <v/>
      </c>
    </row>
    <row r="37" ht="18.0" customHeight="1">
      <c r="B37" s="171">
        <v>34.0</v>
      </c>
      <c r="C37" s="167" t="s">
        <v>47</v>
      </c>
      <c r="D37" s="168" t="str">
        <f t="shared" si="1"/>
        <v>#REF!</v>
      </c>
      <c r="E37" s="168" t="str">
        <f>Tikom!K36</f>
        <v/>
      </c>
      <c r="F37" s="168" t="str">
        <f>Selicon!K36</f>
        <v/>
      </c>
      <c r="G37" s="172">
        <v>95.0</v>
      </c>
      <c r="H37" s="167" t="s">
        <v>108</v>
      </c>
      <c r="I37" s="168" t="str">
        <f t="shared" si="2"/>
        <v>#REF!</v>
      </c>
      <c r="J37" s="168" t="str">
        <f>Tikom!K97</f>
        <v/>
      </c>
      <c r="K37" s="170" t="str">
        <f>Selicon!K97</f>
        <v/>
      </c>
    </row>
    <row r="38" ht="18.0" customHeight="1">
      <c r="B38" s="171">
        <v>35.0</v>
      </c>
      <c r="C38" s="167" t="s">
        <v>48</v>
      </c>
      <c r="D38" s="168" t="str">
        <f t="shared" si="1"/>
        <v>#REF!</v>
      </c>
      <c r="E38" s="168" t="str">
        <f>Tikom!K37</f>
        <v/>
      </c>
      <c r="F38" s="168" t="str">
        <f>Selicon!K37</f>
        <v/>
      </c>
      <c r="G38" s="172">
        <v>96.0</v>
      </c>
      <c r="H38" s="167" t="s">
        <v>109</v>
      </c>
      <c r="I38" s="168" t="str">
        <f t="shared" si="2"/>
        <v>#REF!</v>
      </c>
      <c r="J38" s="168" t="str">
        <f>Tikom!K98</f>
        <v/>
      </c>
      <c r="K38" s="170" t="str">
        <f>Selicon!K98</f>
        <v/>
      </c>
    </row>
    <row r="39" ht="18.0" customHeight="1">
      <c r="B39" s="171">
        <v>36.0</v>
      </c>
      <c r="C39" s="167" t="s">
        <v>49</v>
      </c>
      <c r="D39" s="168" t="str">
        <f t="shared" si="1"/>
        <v>#REF!</v>
      </c>
      <c r="E39" s="168" t="str">
        <f>Tikom!K38</f>
        <v/>
      </c>
      <c r="F39" s="168" t="str">
        <f>Selicon!K38</f>
        <v/>
      </c>
      <c r="G39" s="172">
        <v>97.0</v>
      </c>
      <c r="H39" s="167" t="s">
        <v>110</v>
      </c>
      <c r="I39" s="168" t="str">
        <f t="shared" si="2"/>
        <v>#REF!</v>
      </c>
      <c r="J39" s="168" t="str">
        <f>Tikom!K99</f>
        <v/>
      </c>
      <c r="K39" s="170" t="str">
        <f>Selicon!K99</f>
        <v/>
      </c>
    </row>
    <row r="40" ht="18.0" customHeight="1">
      <c r="B40" s="171">
        <v>37.0</v>
      </c>
      <c r="C40" s="167" t="s">
        <v>50</v>
      </c>
      <c r="D40" s="168" t="str">
        <f t="shared" si="1"/>
        <v>#REF!</v>
      </c>
      <c r="E40" s="168" t="str">
        <f>Tikom!K39</f>
        <v/>
      </c>
      <c r="F40" s="168" t="str">
        <f>Selicon!K39</f>
        <v/>
      </c>
      <c r="G40" s="172">
        <v>98.0</v>
      </c>
      <c r="H40" s="167" t="s">
        <v>111</v>
      </c>
      <c r="I40" s="168" t="str">
        <f t="shared" si="2"/>
        <v>#REF!</v>
      </c>
      <c r="J40" s="168" t="str">
        <f>Tikom!K100</f>
        <v/>
      </c>
      <c r="K40" s="170" t="str">
        <f>Selicon!K100</f>
        <v/>
      </c>
    </row>
    <row r="41" ht="18.0" customHeight="1">
      <c r="B41" s="171">
        <v>38.0</v>
      </c>
      <c r="C41" s="167" t="s">
        <v>51</v>
      </c>
      <c r="D41" s="168" t="str">
        <f t="shared" si="1"/>
        <v>#REF!</v>
      </c>
      <c r="E41" s="168" t="str">
        <f>Tikom!K40</f>
        <v/>
      </c>
      <c r="F41" s="168" t="str">
        <f>Selicon!K40</f>
        <v/>
      </c>
      <c r="G41" s="172">
        <v>99.0</v>
      </c>
      <c r="H41" s="167" t="s">
        <v>112</v>
      </c>
      <c r="I41" s="168" t="str">
        <f t="shared" si="2"/>
        <v>#REF!</v>
      </c>
      <c r="J41" s="168" t="str">
        <f>Tikom!K101</f>
        <v/>
      </c>
      <c r="K41" s="170" t="str">
        <f>Selicon!K101</f>
        <v/>
      </c>
    </row>
    <row r="42" ht="18.0" customHeight="1">
      <c r="B42" s="171">
        <v>39.0</v>
      </c>
      <c r="C42" s="167" t="s">
        <v>52</v>
      </c>
      <c r="D42" s="168" t="str">
        <f t="shared" si="1"/>
        <v>#REF!</v>
      </c>
      <c r="E42" s="168" t="str">
        <f>Tikom!K41</f>
        <v/>
      </c>
      <c r="F42" s="168" t="str">
        <f>Selicon!K41</f>
        <v/>
      </c>
      <c r="G42" s="172">
        <v>100.0</v>
      </c>
      <c r="H42" s="167" t="s">
        <v>113</v>
      </c>
      <c r="I42" s="168" t="str">
        <f t="shared" si="2"/>
        <v>#REF!</v>
      </c>
      <c r="J42" s="168" t="str">
        <f>Tikom!K102</f>
        <v/>
      </c>
      <c r="K42" s="170" t="str">
        <f>Selicon!K102</f>
        <v/>
      </c>
    </row>
    <row r="43" ht="18.0" customHeight="1">
      <c r="B43" s="171">
        <v>40.0</v>
      </c>
      <c r="C43" s="167" t="s">
        <v>53</v>
      </c>
      <c r="D43" s="168" t="str">
        <f t="shared" si="1"/>
        <v>#REF!</v>
      </c>
      <c r="E43" s="168" t="str">
        <f>Tikom!K42</f>
        <v/>
      </c>
      <c r="F43" s="168" t="str">
        <f>Selicon!K42</f>
        <v/>
      </c>
      <c r="G43" s="172">
        <v>101.0</v>
      </c>
      <c r="H43" s="167" t="s">
        <v>114</v>
      </c>
      <c r="I43" s="168" t="str">
        <f t="shared" si="2"/>
        <v>#REF!</v>
      </c>
      <c r="J43" s="168" t="str">
        <f>Tikom!K103</f>
        <v/>
      </c>
      <c r="K43" s="170" t="str">
        <f>Selicon!K103</f>
        <v/>
      </c>
    </row>
    <row r="44" ht="18.0" customHeight="1">
      <c r="B44" s="171">
        <v>41.0</v>
      </c>
      <c r="C44" s="167" t="s">
        <v>54</v>
      </c>
      <c r="D44" s="168" t="str">
        <f t="shared" si="1"/>
        <v>#REF!</v>
      </c>
      <c r="E44" s="168" t="str">
        <f>Tikom!K43</f>
        <v/>
      </c>
      <c r="F44" s="168" t="str">
        <f>Selicon!K43</f>
        <v/>
      </c>
      <c r="G44" s="172">
        <v>102.0</v>
      </c>
      <c r="H44" s="167" t="s">
        <v>115</v>
      </c>
      <c r="I44" s="168" t="str">
        <f t="shared" si="2"/>
        <v>#REF!</v>
      </c>
      <c r="J44" s="168" t="str">
        <f>Tikom!K104</f>
        <v/>
      </c>
      <c r="K44" s="170" t="str">
        <f>Selicon!K104</f>
        <v/>
      </c>
    </row>
    <row r="45" ht="18.0" customHeight="1">
      <c r="B45" s="171">
        <v>42.0</v>
      </c>
      <c r="C45" s="167" t="s">
        <v>55</v>
      </c>
      <c r="D45" s="168" t="str">
        <f t="shared" si="1"/>
        <v>#REF!</v>
      </c>
      <c r="E45" s="168" t="str">
        <f>Tikom!K44</f>
        <v/>
      </c>
      <c r="F45" s="168" t="str">
        <f>Selicon!K44</f>
        <v/>
      </c>
      <c r="G45" s="172">
        <v>103.0</v>
      </c>
      <c r="H45" s="173" t="s">
        <v>116</v>
      </c>
      <c r="I45" s="168" t="str">
        <f t="shared" si="2"/>
        <v>#REF!</v>
      </c>
      <c r="J45" s="168" t="str">
        <f>Tikom!K105</f>
        <v/>
      </c>
      <c r="K45" s="170" t="str">
        <f>Selicon!K105</f>
        <v/>
      </c>
    </row>
    <row r="46" ht="18.0" customHeight="1">
      <c r="B46" s="171">
        <v>43.0</v>
      </c>
      <c r="C46" s="167" t="s">
        <v>56</v>
      </c>
      <c r="D46" s="168" t="str">
        <f t="shared" si="1"/>
        <v>#REF!</v>
      </c>
      <c r="E46" s="168" t="str">
        <f>Tikom!K45</f>
        <v/>
      </c>
      <c r="F46" s="168" t="str">
        <f>Selicon!K45</f>
        <v/>
      </c>
      <c r="G46" s="172">
        <v>104.0</v>
      </c>
      <c r="H46" s="167" t="s">
        <v>117</v>
      </c>
      <c r="I46" s="168" t="str">
        <f t="shared" si="2"/>
        <v>#REF!</v>
      </c>
      <c r="J46" s="168" t="str">
        <f>Tikom!K106</f>
        <v/>
      </c>
      <c r="K46" s="170" t="str">
        <f>Selicon!K106</f>
        <v/>
      </c>
    </row>
    <row r="47" ht="18.0" customHeight="1">
      <c r="B47" s="171">
        <v>44.0</v>
      </c>
      <c r="C47" s="167" t="s">
        <v>57</v>
      </c>
      <c r="D47" s="168" t="str">
        <f t="shared" si="1"/>
        <v>#REF!</v>
      </c>
      <c r="E47" s="168" t="str">
        <f>Tikom!K46</f>
        <v/>
      </c>
      <c r="F47" s="168" t="str">
        <f>Selicon!K46</f>
        <v/>
      </c>
      <c r="G47" s="172">
        <v>105.0</v>
      </c>
      <c r="H47" s="167" t="s">
        <v>118</v>
      </c>
      <c r="I47" s="168" t="str">
        <f t="shared" si="2"/>
        <v>#REF!</v>
      </c>
      <c r="J47" s="168" t="str">
        <f>Tikom!K107</f>
        <v/>
      </c>
      <c r="K47" s="170" t="str">
        <f>Selicon!K107</f>
        <v/>
      </c>
    </row>
    <row r="48" ht="18.0" customHeight="1">
      <c r="B48" s="171">
        <v>45.0</v>
      </c>
      <c r="C48" s="167" t="s">
        <v>58</v>
      </c>
      <c r="D48" s="168" t="str">
        <f t="shared" si="1"/>
        <v>#REF!</v>
      </c>
      <c r="E48" s="168" t="str">
        <f>Tikom!K47</f>
        <v/>
      </c>
      <c r="F48" s="168" t="str">
        <f>Selicon!K47</f>
        <v/>
      </c>
      <c r="G48" s="172">
        <v>106.0</v>
      </c>
      <c r="H48" s="167" t="s">
        <v>119</v>
      </c>
      <c r="I48" s="168" t="str">
        <f t="shared" si="2"/>
        <v>#REF!</v>
      </c>
      <c r="J48" s="168" t="str">
        <f>Tikom!K108</f>
        <v/>
      </c>
      <c r="K48" s="170" t="str">
        <f>Selicon!K108</f>
        <v/>
      </c>
    </row>
    <row r="49" ht="18.0" customHeight="1">
      <c r="B49" s="171">
        <v>46.0</v>
      </c>
      <c r="C49" s="167" t="s">
        <v>59</v>
      </c>
      <c r="D49" s="168" t="str">
        <f t="shared" si="1"/>
        <v>#REF!</v>
      </c>
      <c r="E49" s="168" t="str">
        <f>Tikom!K48</f>
        <v/>
      </c>
      <c r="F49" s="168" t="str">
        <f>Selicon!K48</f>
        <v/>
      </c>
      <c r="G49" s="172">
        <v>107.0</v>
      </c>
      <c r="H49" s="167" t="s">
        <v>120</v>
      </c>
      <c r="I49" s="168" t="str">
        <f t="shared" si="2"/>
        <v>#REF!</v>
      </c>
      <c r="J49" s="168" t="str">
        <f>Tikom!K109</f>
        <v/>
      </c>
      <c r="K49" s="170" t="str">
        <f>Selicon!K109</f>
        <v/>
      </c>
    </row>
    <row r="50" ht="18.0" customHeight="1">
      <c r="B50" s="171">
        <v>47.0</v>
      </c>
      <c r="C50" s="167" t="s">
        <v>60</v>
      </c>
      <c r="D50" s="168" t="str">
        <f t="shared" si="1"/>
        <v>#REF!</v>
      </c>
      <c r="E50" s="168" t="str">
        <f>Tikom!K49</f>
        <v/>
      </c>
      <c r="F50" s="168" t="str">
        <f>Selicon!K49</f>
        <v/>
      </c>
      <c r="G50" s="172">
        <v>108.0</v>
      </c>
      <c r="H50" s="167" t="s">
        <v>121</v>
      </c>
      <c r="I50" s="168" t="str">
        <f t="shared" si="2"/>
        <v>#REF!</v>
      </c>
      <c r="J50" s="168" t="str">
        <f>Tikom!K110</f>
        <v/>
      </c>
      <c r="K50" s="170" t="str">
        <f>Selicon!K110</f>
        <v/>
      </c>
    </row>
    <row r="51" ht="18.0" customHeight="1">
      <c r="B51" s="171">
        <v>48.0</v>
      </c>
      <c r="C51" s="167" t="s">
        <v>61</v>
      </c>
      <c r="D51" s="168" t="str">
        <f t="shared" si="1"/>
        <v>#REF!</v>
      </c>
      <c r="E51" s="168" t="str">
        <f>Tikom!K50</f>
        <v/>
      </c>
      <c r="F51" s="168" t="str">
        <f>Selicon!K50</f>
        <v/>
      </c>
      <c r="G51" s="172">
        <v>109.0</v>
      </c>
      <c r="H51" s="167" t="s">
        <v>122</v>
      </c>
      <c r="I51" s="168" t="str">
        <f t="shared" si="2"/>
        <v>#REF!</v>
      </c>
      <c r="J51" s="168" t="str">
        <f>Tikom!K111</f>
        <v/>
      </c>
      <c r="K51" s="170" t="str">
        <f>Selicon!K111</f>
        <v/>
      </c>
    </row>
    <row r="52" ht="18.0" customHeight="1">
      <c r="B52" s="171">
        <v>49.0</v>
      </c>
      <c r="C52" s="167" t="s">
        <v>62</v>
      </c>
      <c r="D52" s="168" t="str">
        <f t="shared" si="1"/>
        <v>#REF!</v>
      </c>
      <c r="E52" s="168" t="str">
        <f>Tikom!K51</f>
        <v/>
      </c>
      <c r="F52" s="168" t="str">
        <f>Selicon!K51</f>
        <v/>
      </c>
      <c r="G52" s="172">
        <v>110.0</v>
      </c>
      <c r="H52" s="167" t="s">
        <v>123</v>
      </c>
      <c r="I52" s="168" t="str">
        <f t="shared" si="2"/>
        <v>#REF!</v>
      </c>
      <c r="J52" s="168" t="str">
        <f>Tikom!K112</f>
        <v/>
      </c>
      <c r="K52" s="170" t="str">
        <f>Selicon!K112</f>
        <v/>
      </c>
    </row>
    <row r="53" ht="18.0" customHeight="1">
      <c r="B53" s="171">
        <v>50.0</v>
      </c>
      <c r="C53" s="167" t="s">
        <v>63</v>
      </c>
      <c r="D53" s="168" t="str">
        <f t="shared" si="1"/>
        <v>#REF!</v>
      </c>
      <c r="E53" s="168" t="str">
        <f>Tikom!K52</f>
        <v/>
      </c>
      <c r="F53" s="168" t="str">
        <f>Selicon!K52</f>
        <v/>
      </c>
      <c r="G53" s="172">
        <v>111.0</v>
      </c>
      <c r="H53" s="167" t="s">
        <v>124</v>
      </c>
      <c r="I53" s="168" t="str">
        <f t="shared" si="2"/>
        <v>#REF!</v>
      </c>
      <c r="J53" s="168" t="str">
        <f>Tikom!K113</f>
        <v/>
      </c>
      <c r="K53" s="170" t="str">
        <f>Selicon!K113</f>
        <v/>
      </c>
    </row>
    <row r="54" ht="18.0" customHeight="1">
      <c r="B54" s="171">
        <v>51.0</v>
      </c>
      <c r="C54" s="167" t="s">
        <v>64</v>
      </c>
      <c r="D54" s="168" t="str">
        <f t="shared" si="1"/>
        <v>#REF!</v>
      </c>
      <c r="E54" s="168" t="str">
        <f>Tikom!K53</f>
        <v/>
      </c>
      <c r="F54" s="168" t="str">
        <f>Selicon!K53</f>
        <v/>
      </c>
      <c r="G54" s="172">
        <v>112.0</v>
      </c>
      <c r="H54" s="167" t="s">
        <v>125</v>
      </c>
      <c r="I54" s="168" t="str">
        <f t="shared" si="2"/>
        <v>#REF!</v>
      </c>
      <c r="J54" s="168" t="str">
        <f>Tikom!K114</f>
        <v/>
      </c>
      <c r="K54" s="170" t="str">
        <f>Selicon!K114</f>
        <v/>
      </c>
    </row>
    <row r="55" ht="18.0" customHeight="1">
      <c r="B55" s="171">
        <v>52.0</v>
      </c>
      <c r="C55" s="167" t="s">
        <v>65</v>
      </c>
      <c r="D55" s="168" t="str">
        <f t="shared" si="1"/>
        <v>#REF!</v>
      </c>
      <c r="E55" s="168" t="str">
        <f>Tikom!K54</f>
        <v/>
      </c>
      <c r="F55" s="168" t="str">
        <f>Selicon!K54</f>
        <v/>
      </c>
      <c r="G55" s="172">
        <v>113.0</v>
      </c>
      <c r="H55" s="167" t="s">
        <v>126</v>
      </c>
      <c r="I55" s="168" t="str">
        <f t="shared" si="2"/>
        <v>#REF!</v>
      </c>
      <c r="J55" s="168" t="str">
        <f>Tikom!K115</f>
        <v/>
      </c>
      <c r="K55" s="170" t="str">
        <f>Selicon!K115</f>
        <v/>
      </c>
    </row>
    <row r="56" ht="18.0" customHeight="1">
      <c r="B56" s="171">
        <v>53.0</v>
      </c>
      <c r="C56" s="167" t="s">
        <v>66</v>
      </c>
      <c r="D56" s="168" t="str">
        <f t="shared" si="1"/>
        <v>#REF!</v>
      </c>
      <c r="E56" s="168" t="str">
        <f>Tikom!K55</f>
        <v/>
      </c>
      <c r="F56" s="168" t="str">
        <f>Selicon!K55</f>
        <v/>
      </c>
      <c r="G56" s="172">
        <v>114.0</v>
      </c>
      <c r="H56" s="167" t="s">
        <v>127</v>
      </c>
      <c r="I56" s="168" t="str">
        <f t="shared" si="2"/>
        <v>#REF!</v>
      </c>
      <c r="J56" s="168" t="str">
        <f>Tikom!K116</f>
        <v/>
      </c>
      <c r="K56" s="170" t="str">
        <f>Selicon!K116</f>
        <v/>
      </c>
    </row>
    <row r="57" ht="18.0" customHeight="1">
      <c r="B57" s="171">
        <v>54.0</v>
      </c>
      <c r="C57" s="167" t="s">
        <v>67</v>
      </c>
      <c r="D57" s="168" t="str">
        <f t="shared" si="1"/>
        <v>#REF!</v>
      </c>
      <c r="E57" s="168" t="str">
        <f>Tikom!K56</f>
        <v/>
      </c>
      <c r="F57" s="168" t="str">
        <f>Selicon!K56</f>
        <v/>
      </c>
      <c r="G57" s="172">
        <v>115.0</v>
      </c>
      <c r="H57" s="167" t="s">
        <v>128</v>
      </c>
      <c r="I57" s="168" t="str">
        <f t="shared" si="2"/>
        <v>#REF!</v>
      </c>
      <c r="J57" s="168" t="str">
        <f>Tikom!K117</f>
        <v/>
      </c>
      <c r="K57" s="170" t="str">
        <f>Selicon!K117</f>
        <v/>
      </c>
    </row>
    <row r="58" ht="18.0" customHeight="1">
      <c r="B58" s="171">
        <v>55.0</v>
      </c>
      <c r="C58" s="167" t="s">
        <v>68</v>
      </c>
      <c r="D58" s="168" t="str">
        <f t="shared" si="1"/>
        <v>#REF!</v>
      </c>
      <c r="E58" s="168" t="str">
        <f>Tikom!K57</f>
        <v/>
      </c>
      <c r="F58" s="168" t="str">
        <f>Selicon!K57</f>
        <v/>
      </c>
      <c r="G58" s="172">
        <v>116.0</v>
      </c>
      <c r="H58" s="167" t="s">
        <v>129</v>
      </c>
      <c r="I58" s="168" t="str">
        <f t="shared" si="2"/>
        <v>#REF!</v>
      </c>
      <c r="J58" s="168" t="str">
        <f>Tikom!K118</f>
        <v/>
      </c>
      <c r="K58" s="170" t="str">
        <f>Selicon!K118</f>
        <v/>
      </c>
    </row>
    <row r="59" ht="18.0" customHeight="1">
      <c r="B59" s="171">
        <v>56.0</v>
      </c>
      <c r="C59" s="167" t="s">
        <v>69</v>
      </c>
      <c r="D59" s="168" t="str">
        <f t="shared" si="1"/>
        <v>#REF!</v>
      </c>
      <c r="E59" s="168" t="str">
        <f>Tikom!K58</f>
        <v/>
      </c>
      <c r="F59" s="168" t="str">
        <f>Selicon!K58</f>
        <v/>
      </c>
      <c r="G59" s="172">
        <v>117.0</v>
      </c>
      <c r="H59" s="167" t="s">
        <v>130</v>
      </c>
      <c r="I59" s="168" t="str">
        <f t="shared" si="2"/>
        <v>#REF!</v>
      </c>
      <c r="J59" s="168" t="str">
        <f>Tikom!K119</f>
        <v/>
      </c>
      <c r="K59" s="170" t="str">
        <f>Selicon!K119</f>
        <v/>
      </c>
    </row>
    <row r="60" ht="18.0" customHeight="1">
      <c r="B60" s="171">
        <v>57.0</v>
      </c>
      <c r="C60" s="167" t="s">
        <v>70</v>
      </c>
      <c r="D60" s="168" t="str">
        <f t="shared" si="1"/>
        <v>#REF!</v>
      </c>
      <c r="E60" s="168" t="str">
        <f>Tikom!K59</f>
        <v/>
      </c>
      <c r="F60" s="168" t="str">
        <f>Selicon!K59</f>
        <v/>
      </c>
      <c r="G60" s="172">
        <v>118.0</v>
      </c>
      <c r="H60" s="167" t="s">
        <v>131</v>
      </c>
      <c r="I60" s="168" t="str">
        <f t="shared" si="2"/>
        <v>#REF!</v>
      </c>
      <c r="J60" s="168" t="str">
        <f>Tikom!K120</f>
        <v/>
      </c>
      <c r="K60" s="170" t="str">
        <f>Selicon!K120</f>
        <v/>
      </c>
    </row>
    <row r="61" ht="18.0" customHeight="1">
      <c r="B61" s="171">
        <v>58.0</v>
      </c>
      <c r="C61" s="167" t="s">
        <v>71</v>
      </c>
      <c r="D61" s="168" t="str">
        <f t="shared" si="1"/>
        <v>#REF!</v>
      </c>
      <c r="E61" s="168" t="str">
        <f>Tikom!K60</f>
        <v/>
      </c>
      <c r="F61" s="168" t="str">
        <f>Selicon!K60</f>
        <v/>
      </c>
      <c r="G61" s="172">
        <v>119.0</v>
      </c>
      <c r="H61" s="167" t="s">
        <v>132</v>
      </c>
      <c r="I61" s="168" t="str">
        <f t="shared" si="2"/>
        <v>#REF!</v>
      </c>
      <c r="J61" s="168" t="str">
        <f>Tikom!K121</f>
        <v/>
      </c>
      <c r="K61" s="170" t="str">
        <f>Selicon!K121</f>
        <v/>
      </c>
    </row>
    <row r="62" ht="18.0" customHeight="1">
      <c r="B62" s="171">
        <v>59.0</v>
      </c>
      <c r="C62" s="167" t="s">
        <v>72</v>
      </c>
      <c r="D62" s="168" t="str">
        <f t="shared" si="1"/>
        <v>#REF!</v>
      </c>
      <c r="E62" s="168" t="str">
        <f>Tikom!K61</f>
        <v/>
      </c>
      <c r="F62" s="168" t="str">
        <f>Selicon!K61</f>
        <v/>
      </c>
      <c r="G62" s="172">
        <v>120.0</v>
      </c>
      <c r="H62" s="167" t="s">
        <v>133</v>
      </c>
      <c r="I62" s="168" t="str">
        <f t="shared" si="2"/>
        <v>#REF!</v>
      </c>
      <c r="J62" s="168" t="str">
        <f>Tikom!K122</f>
        <v/>
      </c>
      <c r="K62" s="170" t="str">
        <f>Selicon!K122</f>
        <v/>
      </c>
    </row>
    <row r="63" ht="18.0" customHeight="1">
      <c r="B63" s="171">
        <v>60.0</v>
      </c>
      <c r="C63" s="167" t="s">
        <v>73</v>
      </c>
      <c r="D63" s="168" t="str">
        <f t="shared" si="1"/>
        <v>#REF!</v>
      </c>
      <c r="E63" s="168" t="str">
        <f>Tikom!K62</f>
        <v/>
      </c>
      <c r="F63" s="168" t="str">
        <f>Selicon!K62</f>
        <v/>
      </c>
      <c r="G63" s="172">
        <v>121.0</v>
      </c>
      <c r="H63" s="167" t="s">
        <v>134</v>
      </c>
      <c r="I63" s="168" t="str">
        <f t="shared" si="2"/>
        <v>#REF!</v>
      </c>
      <c r="J63" s="168" t="str">
        <f>Tikom!K123</f>
        <v/>
      </c>
      <c r="K63" s="170" t="str">
        <f>Selicon!K123</f>
        <v/>
      </c>
    </row>
    <row r="64" ht="18.75" customHeight="1">
      <c r="B64" s="174">
        <v>61.0</v>
      </c>
      <c r="C64" s="175" t="s">
        <v>74</v>
      </c>
      <c r="D64" s="176" t="str">
        <f t="shared" si="1"/>
        <v>#REF!</v>
      </c>
      <c r="E64" s="176" t="str">
        <f>Tikom!K63</f>
        <v/>
      </c>
      <c r="F64" s="176" t="str">
        <f>Selicon!K63</f>
        <v/>
      </c>
      <c r="G64" s="177">
        <v>122.0</v>
      </c>
      <c r="H64" s="178" t="s">
        <v>135</v>
      </c>
      <c r="I64" s="176" t="str">
        <f t="shared" si="2"/>
        <v>#REF!</v>
      </c>
      <c r="J64" s="176" t="str">
        <f>Tikom!K124</f>
        <v/>
      </c>
      <c r="K64" s="179" t="str">
        <f>Selicon!K124</f>
        <v/>
      </c>
    </row>
    <row r="65" ht="14.25" customHeight="1">
      <c r="D65" s="74"/>
      <c r="E65" s="74"/>
      <c r="F65" s="74"/>
      <c r="I65" s="74"/>
      <c r="J65" s="74"/>
      <c r="K65" s="74"/>
    </row>
    <row r="66" ht="14.25" customHeight="1">
      <c r="D66" s="74"/>
      <c r="E66" s="74"/>
      <c r="F66" s="74"/>
      <c r="I66" s="74"/>
      <c r="J66" s="74"/>
      <c r="K66" s="74"/>
    </row>
    <row r="67" ht="14.25" customHeight="1">
      <c r="D67" s="74"/>
      <c r="E67" s="74"/>
      <c r="F67" s="74"/>
      <c r="I67" s="74"/>
      <c r="J67" s="74"/>
      <c r="K67" s="74"/>
    </row>
    <row r="68" ht="14.25" customHeight="1">
      <c r="D68" s="74"/>
      <c r="E68" s="74"/>
      <c r="F68" s="74"/>
      <c r="I68" s="74"/>
      <c r="J68" s="74"/>
      <c r="K68" s="74"/>
    </row>
    <row r="69" ht="14.25" customHeight="1">
      <c r="D69" s="74"/>
      <c r="E69" s="74"/>
      <c r="F69" s="74"/>
      <c r="I69" s="74"/>
      <c r="J69" s="74"/>
      <c r="K69" s="74"/>
    </row>
    <row r="70" ht="14.25" customHeight="1">
      <c r="D70" s="74"/>
      <c r="E70" s="74"/>
      <c r="F70" s="74"/>
      <c r="I70" s="74"/>
      <c r="J70" s="74"/>
      <c r="K70" s="74"/>
    </row>
    <row r="71" ht="14.25" customHeight="1">
      <c r="D71" s="74"/>
      <c r="E71" s="74"/>
      <c r="F71" s="74"/>
      <c r="I71" s="74"/>
      <c r="J71" s="74"/>
      <c r="K71" s="74"/>
    </row>
    <row r="72" ht="14.25" customHeight="1">
      <c r="D72" s="74"/>
      <c r="E72" s="74"/>
      <c r="F72" s="74"/>
      <c r="I72" s="74"/>
      <c r="J72" s="74"/>
      <c r="K72" s="74"/>
    </row>
    <row r="73" ht="14.25" customHeight="1">
      <c r="D73" s="74"/>
      <c r="E73" s="74"/>
      <c r="F73" s="74"/>
      <c r="I73" s="74"/>
      <c r="J73" s="74"/>
      <c r="K73" s="74"/>
    </row>
    <row r="74" ht="14.25" customHeight="1">
      <c r="D74" s="74"/>
      <c r="E74" s="74"/>
      <c r="F74" s="74"/>
      <c r="I74" s="74"/>
      <c r="J74" s="74"/>
      <c r="K74" s="74"/>
    </row>
    <row r="75" ht="14.25" customHeight="1">
      <c r="D75" s="74"/>
      <c r="E75" s="74"/>
      <c r="F75" s="74"/>
      <c r="I75" s="74"/>
      <c r="J75" s="74"/>
      <c r="K75" s="74"/>
    </row>
    <row r="76" ht="14.25" customHeight="1">
      <c r="D76" s="74"/>
      <c r="E76" s="74"/>
      <c r="F76" s="74"/>
      <c r="I76" s="74"/>
      <c r="J76" s="74"/>
      <c r="K76" s="74"/>
    </row>
    <row r="77" ht="14.25" customHeight="1">
      <c r="D77" s="74"/>
      <c r="E77" s="74"/>
      <c r="F77" s="74"/>
      <c r="I77" s="74"/>
      <c r="J77" s="74"/>
      <c r="K77" s="74"/>
    </row>
    <row r="78" ht="14.25" customHeight="1">
      <c r="D78" s="74"/>
      <c r="E78" s="74"/>
      <c r="F78" s="74"/>
      <c r="I78" s="74"/>
      <c r="J78" s="74"/>
      <c r="K78" s="74"/>
    </row>
    <row r="79" ht="14.25" customHeight="1">
      <c r="D79" s="74"/>
      <c r="E79" s="74"/>
      <c r="F79" s="74"/>
      <c r="I79" s="74"/>
      <c r="J79" s="74"/>
      <c r="K79" s="74"/>
    </row>
    <row r="80" ht="14.25" customHeight="1">
      <c r="D80" s="74"/>
      <c r="E80" s="74"/>
      <c r="F80" s="74"/>
      <c r="I80" s="74"/>
      <c r="J80" s="74"/>
      <c r="K80" s="74"/>
    </row>
    <row r="81" ht="14.25" customHeight="1">
      <c r="D81" s="74"/>
      <c r="E81" s="74"/>
      <c r="F81" s="74"/>
      <c r="I81" s="74"/>
      <c r="J81" s="74"/>
      <c r="K81" s="74"/>
    </row>
    <row r="82" ht="14.25" customHeight="1">
      <c r="D82" s="74"/>
      <c r="E82" s="74"/>
      <c r="F82" s="74"/>
      <c r="I82" s="74"/>
      <c r="J82" s="74"/>
      <c r="K82" s="74"/>
    </row>
    <row r="83" ht="14.25" customHeight="1">
      <c r="D83" s="74"/>
      <c r="E83" s="74"/>
      <c r="F83" s="74"/>
      <c r="I83" s="74"/>
      <c r="J83" s="74"/>
      <c r="K83" s="74"/>
    </row>
    <row r="84" ht="14.25" customHeight="1">
      <c r="D84" s="74"/>
      <c r="E84" s="74"/>
      <c r="F84" s="74"/>
      <c r="I84" s="74"/>
      <c r="J84" s="74"/>
      <c r="K84" s="74"/>
    </row>
    <row r="85" ht="14.25" customHeight="1">
      <c r="D85" s="74"/>
      <c r="E85" s="74"/>
      <c r="F85" s="74"/>
      <c r="I85" s="74"/>
      <c r="J85" s="74"/>
      <c r="K85" s="74"/>
    </row>
    <row r="86" ht="14.25" customHeight="1">
      <c r="D86" s="74"/>
      <c r="E86" s="74"/>
      <c r="F86" s="74"/>
      <c r="I86" s="74"/>
      <c r="J86" s="74"/>
      <c r="K86" s="74"/>
    </row>
    <row r="87" ht="14.25" customHeight="1">
      <c r="D87" s="74"/>
      <c r="E87" s="74"/>
      <c r="F87" s="74"/>
      <c r="I87" s="74"/>
      <c r="J87" s="74"/>
      <c r="K87" s="74"/>
    </row>
    <row r="88" ht="14.25" customHeight="1">
      <c r="D88" s="74"/>
      <c r="E88" s="74"/>
      <c r="F88" s="74"/>
      <c r="I88" s="74"/>
      <c r="J88" s="74"/>
      <c r="K88" s="74"/>
    </row>
    <row r="89" ht="14.25" customHeight="1">
      <c r="D89" s="74"/>
      <c r="E89" s="74"/>
      <c r="F89" s="74"/>
      <c r="I89" s="74"/>
      <c r="J89" s="74"/>
      <c r="K89" s="74"/>
    </row>
    <row r="90" ht="14.25" customHeight="1">
      <c r="D90" s="74"/>
      <c r="E90" s="74"/>
      <c r="F90" s="74"/>
      <c r="I90" s="74"/>
      <c r="J90" s="74"/>
      <c r="K90" s="74"/>
    </row>
    <row r="91" ht="14.25" customHeight="1">
      <c r="D91" s="74"/>
      <c r="E91" s="74"/>
      <c r="F91" s="74"/>
      <c r="I91" s="74"/>
      <c r="J91" s="74"/>
      <c r="K91" s="74"/>
    </row>
    <row r="92" ht="14.25" customHeight="1">
      <c r="D92" s="74"/>
      <c r="E92" s="74"/>
      <c r="F92" s="74"/>
      <c r="I92" s="74"/>
      <c r="J92" s="74"/>
      <c r="K92" s="74"/>
    </row>
    <row r="93" ht="14.25" customHeight="1">
      <c r="D93" s="74"/>
      <c r="E93" s="74"/>
      <c r="F93" s="74"/>
      <c r="I93" s="74"/>
      <c r="J93" s="74"/>
      <c r="K93" s="74"/>
    </row>
    <row r="94" ht="14.25" customHeight="1">
      <c r="D94" s="74"/>
      <c r="E94" s="74"/>
      <c r="F94" s="74"/>
      <c r="I94" s="74"/>
      <c r="J94" s="74"/>
      <c r="K94" s="74"/>
    </row>
    <row r="95" ht="14.25" customHeight="1">
      <c r="D95" s="74"/>
      <c r="E95" s="74"/>
      <c r="F95" s="74"/>
      <c r="I95" s="74"/>
      <c r="J95" s="74"/>
      <c r="K95" s="74"/>
    </row>
    <row r="96" ht="14.25" customHeight="1">
      <c r="D96" s="74"/>
      <c r="E96" s="74"/>
      <c r="F96" s="74"/>
      <c r="I96" s="74"/>
      <c r="J96" s="74"/>
      <c r="K96" s="74"/>
    </row>
    <row r="97" ht="14.25" customHeight="1">
      <c r="D97" s="74"/>
      <c r="E97" s="74"/>
      <c r="F97" s="74"/>
      <c r="I97" s="74"/>
      <c r="J97" s="74"/>
      <c r="K97" s="74"/>
    </row>
    <row r="98" ht="14.25" customHeight="1">
      <c r="D98" s="74"/>
      <c r="E98" s="74"/>
      <c r="F98" s="74"/>
      <c r="I98" s="74"/>
      <c r="J98" s="74"/>
      <c r="K98" s="74"/>
    </row>
    <row r="99" ht="14.25" customHeight="1">
      <c r="D99" s="74"/>
      <c r="E99" s="74"/>
      <c r="F99" s="74"/>
      <c r="I99" s="74"/>
      <c r="J99" s="74"/>
      <c r="K99" s="74"/>
    </row>
    <row r="100" ht="14.25" customHeight="1">
      <c r="D100" s="74"/>
      <c r="E100" s="74"/>
      <c r="F100" s="74"/>
      <c r="I100" s="74"/>
      <c r="J100" s="74"/>
      <c r="K100" s="74"/>
    </row>
    <row r="101" ht="14.25" customHeight="1">
      <c r="D101" s="74"/>
      <c r="E101" s="74"/>
      <c r="F101" s="74"/>
      <c r="I101" s="74"/>
      <c r="J101" s="74"/>
      <c r="K101" s="74"/>
    </row>
    <row r="102" ht="14.25" customHeight="1">
      <c r="D102" s="74"/>
      <c r="E102" s="74"/>
      <c r="F102" s="74"/>
      <c r="I102" s="74"/>
      <c r="J102" s="74"/>
      <c r="K102" s="74"/>
    </row>
    <row r="103" ht="14.25" customHeight="1">
      <c r="D103" s="74"/>
      <c r="E103" s="74"/>
      <c r="F103" s="74"/>
      <c r="I103" s="74"/>
      <c r="J103" s="74"/>
      <c r="K103" s="74"/>
    </row>
    <row r="104" ht="14.25" customHeight="1">
      <c r="D104" s="74"/>
      <c r="E104" s="74"/>
      <c r="F104" s="74"/>
      <c r="I104" s="74"/>
      <c r="J104" s="74"/>
      <c r="K104" s="74"/>
    </row>
    <row r="105" ht="14.25" customHeight="1">
      <c r="D105" s="74"/>
      <c r="E105" s="74"/>
      <c r="F105" s="74"/>
      <c r="I105" s="74"/>
      <c r="J105" s="74"/>
      <c r="K105" s="74"/>
    </row>
    <row r="106" ht="14.25" customHeight="1">
      <c r="D106" s="74"/>
      <c r="E106" s="74"/>
      <c r="F106" s="74"/>
      <c r="I106" s="74"/>
      <c r="J106" s="74"/>
      <c r="K106" s="74"/>
    </row>
    <row r="107" ht="14.25" customHeight="1">
      <c r="D107" s="74"/>
      <c r="E107" s="74"/>
      <c r="F107" s="74"/>
      <c r="I107" s="74"/>
      <c r="J107" s="74"/>
      <c r="K107" s="74"/>
    </row>
    <row r="108" ht="14.25" customHeight="1">
      <c r="D108" s="74"/>
      <c r="E108" s="74"/>
      <c r="F108" s="74"/>
      <c r="I108" s="74"/>
      <c r="J108" s="74"/>
      <c r="K108" s="74"/>
    </row>
    <row r="109" ht="14.25" customHeight="1">
      <c r="D109" s="74"/>
      <c r="E109" s="74"/>
      <c r="F109" s="74"/>
      <c r="I109" s="74"/>
      <c r="J109" s="74"/>
      <c r="K109" s="74"/>
    </row>
    <row r="110" ht="14.25" customHeight="1">
      <c r="D110" s="74"/>
      <c r="E110" s="74"/>
      <c r="F110" s="74"/>
      <c r="I110" s="74"/>
      <c r="J110" s="74"/>
      <c r="K110" s="74"/>
    </row>
    <row r="111" ht="14.25" customHeight="1">
      <c r="D111" s="74"/>
      <c r="E111" s="74"/>
      <c r="F111" s="74"/>
      <c r="I111" s="74"/>
      <c r="J111" s="74"/>
      <c r="K111" s="74"/>
    </row>
    <row r="112" ht="14.25" customHeight="1">
      <c r="D112" s="74"/>
      <c r="E112" s="74"/>
      <c r="F112" s="74"/>
      <c r="I112" s="74"/>
      <c r="J112" s="74"/>
      <c r="K112" s="74"/>
    </row>
    <row r="113" ht="14.25" customHeight="1">
      <c r="D113" s="74"/>
      <c r="E113" s="74"/>
      <c r="F113" s="74"/>
      <c r="I113" s="74"/>
      <c r="J113" s="74"/>
      <c r="K113" s="74"/>
    </row>
    <row r="114" ht="14.25" customHeight="1">
      <c r="D114" s="74"/>
      <c r="E114" s="74"/>
      <c r="F114" s="74"/>
      <c r="I114" s="74"/>
      <c r="J114" s="74"/>
      <c r="K114" s="74"/>
    </row>
    <row r="115" ht="14.25" customHeight="1">
      <c r="D115" s="74"/>
      <c r="E115" s="74"/>
      <c r="F115" s="74"/>
      <c r="I115" s="74"/>
      <c r="J115" s="74"/>
      <c r="K115" s="74"/>
    </row>
    <row r="116" ht="14.25" customHeight="1">
      <c r="D116" s="74"/>
      <c r="E116" s="74"/>
      <c r="F116" s="74"/>
      <c r="I116" s="74"/>
      <c r="J116" s="74"/>
      <c r="K116" s="74"/>
    </row>
    <row r="117" ht="14.25" customHeight="1">
      <c r="D117" s="74"/>
      <c r="E117" s="74"/>
      <c r="F117" s="74"/>
      <c r="I117" s="74"/>
      <c r="J117" s="74"/>
      <c r="K117" s="74"/>
    </row>
    <row r="118" ht="14.25" customHeight="1">
      <c r="D118" s="74"/>
      <c r="E118" s="74"/>
      <c r="F118" s="74"/>
      <c r="I118" s="74"/>
      <c r="J118" s="74"/>
      <c r="K118" s="74"/>
    </row>
    <row r="119" ht="14.25" customHeight="1">
      <c r="D119" s="74"/>
      <c r="E119" s="74"/>
      <c r="F119" s="74"/>
      <c r="I119" s="74"/>
      <c r="J119" s="74"/>
      <c r="K119" s="74"/>
    </row>
    <row r="120" ht="14.25" customHeight="1">
      <c r="D120" s="74"/>
      <c r="E120" s="74"/>
      <c r="F120" s="74"/>
      <c r="I120" s="74"/>
      <c r="J120" s="74"/>
      <c r="K120" s="74"/>
    </row>
    <row r="121" ht="14.25" customHeight="1">
      <c r="D121" s="74"/>
      <c r="E121" s="74"/>
      <c r="F121" s="74"/>
      <c r="I121" s="74"/>
      <c r="J121" s="74"/>
      <c r="K121" s="74"/>
    </row>
    <row r="122" ht="14.25" customHeight="1">
      <c r="D122" s="74"/>
      <c r="E122" s="74"/>
      <c r="F122" s="74"/>
      <c r="I122" s="74"/>
      <c r="J122" s="74"/>
      <c r="K122" s="74"/>
    </row>
    <row r="123" ht="14.25" customHeight="1">
      <c r="D123" s="74"/>
      <c r="E123" s="74"/>
      <c r="F123" s="74"/>
      <c r="I123" s="74"/>
      <c r="J123" s="74"/>
      <c r="K123" s="74"/>
    </row>
    <row r="124" ht="14.25" customHeight="1">
      <c r="D124" s="74"/>
      <c r="E124" s="74"/>
      <c r="F124" s="74"/>
      <c r="I124" s="74"/>
      <c r="J124" s="74"/>
      <c r="K124" s="74"/>
    </row>
    <row r="125" ht="14.25" customHeight="1">
      <c r="D125" s="74"/>
      <c r="E125" s="74"/>
      <c r="F125" s="74"/>
      <c r="I125" s="74"/>
      <c r="J125" s="74"/>
      <c r="K125" s="74"/>
    </row>
    <row r="126" ht="14.25" customHeight="1">
      <c r="D126" s="74"/>
      <c r="E126" s="74"/>
      <c r="F126" s="74"/>
      <c r="I126" s="74"/>
      <c r="J126" s="74"/>
      <c r="K126" s="74"/>
    </row>
    <row r="127" ht="14.25" customHeight="1">
      <c r="D127" s="74"/>
      <c r="E127" s="74"/>
      <c r="F127" s="74"/>
      <c r="I127" s="74"/>
      <c r="J127" s="74"/>
      <c r="K127" s="74"/>
    </row>
    <row r="128" ht="14.25" customHeight="1">
      <c r="D128" s="74"/>
      <c r="E128" s="74"/>
      <c r="F128" s="74"/>
      <c r="I128" s="74"/>
      <c r="J128" s="74"/>
      <c r="K128" s="74"/>
    </row>
    <row r="129" ht="14.25" customHeight="1">
      <c r="D129" s="74"/>
      <c r="E129" s="74"/>
      <c r="F129" s="74"/>
      <c r="I129" s="74"/>
      <c r="J129" s="74"/>
      <c r="K129" s="74"/>
    </row>
    <row r="130" ht="14.25" customHeight="1">
      <c r="D130" s="74"/>
      <c r="E130" s="74"/>
      <c r="F130" s="74"/>
      <c r="I130" s="74"/>
      <c r="J130" s="74"/>
      <c r="K130" s="74"/>
    </row>
    <row r="131" ht="14.25" customHeight="1">
      <c r="D131" s="74"/>
      <c r="E131" s="74"/>
      <c r="F131" s="74"/>
      <c r="I131" s="74"/>
      <c r="J131" s="74"/>
      <c r="K131" s="74"/>
    </row>
    <row r="132" ht="14.25" customHeight="1">
      <c r="D132" s="74"/>
      <c r="E132" s="74"/>
      <c r="F132" s="74"/>
      <c r="I132" s="74"/>
      <c r="J132" s="74"/>
      <c r="K132" s="74"/>
    </row>
    <row r="133" ht="14.25" customHeight="1">
      <c r="D133" s="74"/>
      <c r="E133" s="74"/>
      <c r="F133" s="74"/>
      <c r="I133" s="74"/>
      <c r="J133" s="74"/>
      <c r="K133" s="74"/>
    </row>
    <row r="134" ht="14.25" customHeight="1">
      <c r="D134" s="74"/>
      <c r="E134" s="74"/>
      <c r="F134" s="74"/>
      <c r="I134" s="74"/>
      <c r="J134" s="74"/>
      <c r="K134" s="74"/>
    </row>
    <row r="135" ht="14.25" customHeight="1">
      <c r="D135" s="74"/>
      <c r="E135" s="74"/>
      <c r="F135" s="74"/>
      <c r="I135" s="74"/>
      <c r="J135" s="74"/>
      <c r="K135" s="74"/>
    </row>
    <row r="136" ht="14.25" customHeight="1">
      <c r="D136" s="74"/>
      <c r="E136" s="74"/>
      <c r="F136" s="74"/>
      <c r="I136" s="74"/>
      <c r="J136" s="74"/>
      <c r="K136" s="74"/>
    </row>
    <row r="137" ht="14.25" customHeight="1">
      <c r="D137" s="74"/>
      <c r="E137" s="74"/>
      <c r="F137" s="74"/>
      <c r="I137" s="74"/>
      <c r="J137" s="74"/>
      <c r="K137" s="74"/>
    </row>
    <row r="138" ht="14.25" customHeight="1">
      <c r="D138" s="74"/>
      <c r="E138" s="74"/>
      <c r="F138" s="74"/>
      <c r="I138" s="74"/>
      <c r="J138" s="74"/>
      <c r="K138" s="74"/>
    </row>
    <row r="139" ht="14.25" customHeight="1">
      <c r="D139" s="74"/>
      <c r="E139" s="74"/>
      <c r="F139" s="74"/>
      <c r="I139" s="74"/>
      <c r="J139" s="74"/>
      <c r="K139" s="74"/>
    </row>
    <row r="140" ht="14.25" customHeight="1">
      <c r="D140" s="74"/>
      <c r="E140" s="74"/>
      <c r="F140" s="74"/>
      <c r="I140" s="74"/>
      <c r="J140" s="74"/>
      <c r="K140" s="74"/>
    </row>
    <row r="141" ht="14.25" customHeight="1">
      <c r="D141" s="74"/>
      <c r="E141" s="74"/>
      <c r="F141" s="74"/>
      <c r="I141" s="74"/>
      <c r="J141" s="74"/>
      <c r="K141" s="74"/>
    </row>
    <row r="142" ht="14.25" customHeight="1">
      <c r="D142" s="74"/>
      <c r="E142" s="74"/>
      <c r="F142" s="74"/>
      <c r="I142" s="74"/>
      <c r="J142" s="74"/>
      <c r="K142" s="74"/>
    </row>
    <row r="143" ht="14.25" customHeight="1">
      <c r="D143" s="74"/>
      <c r="E143" s="74"/>
      <c r="F143" s="74"/>
      <c r="I143" s="74"/>
      <c r="J143" s="74"/>
      <c r="K143" s="74"/>
    </row>
    <row r="144" ht="14.25" customHeight="1">
      <c r="D144" s="74"/>
      <c r="E144" s="74"/>
      <c r="F144" s="74"/>
      <c r="I144" s="74"/>
      <c r="J144" s="74"/>
      <c r="K144" s="74"/>
    </row>
    <row r="145" ht="14.25" customHeight="1">
      <c r="D145" s="74"/>
      <c r="E145" s="74"/>
      <c r="F145" s="74"/>
      <c r="I145" s="74"/>
      <c r="J145" s="74"/>
      <c r="K145" s="74"/>
    </row>
    <row r="146" ht="14.25" customHeight="1">
      <c r="D146" s="74"/>
      <c r="E146" s="74"/>
      <c r="F146" s="74"/>
      <c r="I146" s="74"/>
      <c r="J146" s="74"/>
      <c r="K146" s="74"/>
    </row>
    <row r="147" ht="14.25" customHeight="1">
      <c r="D147" s="74"/>
      <c r="E147" s="74"/>
      <c r="F147" s="74"/>
      <c r="I147" s="74"/>
      <c r="J147" s="74"/>
      <c r="K147" s="74"/>
    </row>
    <row r="148" ht="14.25" customHeight="1">
      <c r="D148" s="74"/>
      <c r="E148" s="74"/>
      <c r="F148" s="74"/>
      <c r="I148" s="74"/>
      <c r="J148" s="74"/>
      <c r="K148" s="74"/>
    </row>
    <row r="149" ht="14.25" customHeight="1">
      <c r="D149" s="74"/>
      <c r="E149" s="74"/>
      <c r="F149" s="74"/>
      <c r="I149" s="74"/>
      <c r="J149" s="74"/>
      <c r="K149" s="74"/>
    </row>
    <row r="150" ht="14.25" customHeight="1">
      <c r="D150" s="74"/>
      <c r="E150" s="74"/>
      <c r="F150" s="74"/>
      <c r="I150" s="74"/>
      <c r="J150" s="74"/>
      <c r="K150" s="74"/>
    </row>
    <row r="151" ht="14.25" customHeight="1">
      <c r="D151" s="74"/>
      <c r="E151" s="74"/>
      <c r="F151" s="74"/>
      <c r="I151" s="74"/>
      <c r="J151" s="74"/>
      <c r="K151" s="74"/>
    </row>
    <row r="152" ht="14.25" customHeight="1">
      <c r="D152" s="74"/>
      <c r="E152" s="74"/>
      <c r="F152" s="74"/>
      <c r="I152" s="74"/>
      <c r="J152" s="74"/>
      <c r="K152" s="74"/>
    </row>
    <row r="153" ht="14.25" customHeight="1">
      <c r="D153" s="74"/>
      <c r="E153" s="74"/>
      <c r="F153" s="74"/>
      <c r="I153" s="74"/>
      <c r="J153" s="74"/>
      <c r="K153" s="74"/>
    </row>
    <row r="154" ht="14.25" customHeight="1">
      <c r="D154" s="74"/>
      <c r="E154" s="74"/>
      <c r="F154" s="74"/>
      <c r="I154" s="74"/>
      <c r="J154" s="74"/>
      <c r="K154" s="74"/>
    </row>
    <row r="155" ht="14.25" customHeight="1">
      <c r="D155" s="74"/>
      <c r="E155" s="74"/>
      <c r="F155" s="74"/>
      <c r="I155" s="74"/>
      <c r="J155" s="74"/>
      <c r="K155" s="74"/>
    </row>
    <row r="156" ht="14.25" customHeight="1">
      <c r="D156" s="74"/>
      <c r="E156" s="74"/>
      <c r="F156" s="74"/>
      <c r="I156" s="74"/>
      <c r="J156" s="74"/>
      <c r="K156" s="74"/>
    </row>
    <row r="157" ht="14.25" customHeight="1">
      <c r="D157" s="74"/>
      <c r="E157" s="74"/>
      <c r="F157" s="74"/>
      <c r="I157" s="74"/>
      <c r="J157" s="74"/>
      <c r="K157" s="74"/>
    </row>
    <row r="158" ht="14.25" customHeight="1">
      <c r="D158" s="74"/>
      <c r="E158" s="74"/>
      <c r="F158" s="74"/>
      <c r="I158" s="74"/>
      <c r="J158" s="74"/>
      <c r="K158" s="74"/>
    </row>
    <row r="159" ht="14.25" customHeight="1">
      <c r="D159" s="74"/>
      <c r="E159" s="74"/>
      <c r="F159" s="74"/>
      <c r="I159" s="74"/>
      <c r="J159" s="74"/>
      <c r="K159" s="74"/>
    </row>
    <row r="160" ht="14.25" customHeight="1">
      <c r="D160" s="74"/>
      <c r="E160" s="74"/>
      <c r="F160" s="74"/>
      <c r="I160" s="74"/>
      <c r="J160" s="74"/>
      <c r="K160" s="74"/>
    </row>
    <row r="161" ht="14.25" customHeight="1">
      <c r="D161" s="74"/>
      <c r="E161" s="74"/>
      <c r="F161" s="74"/>
      <c r="I161" s="74"/>
      <c r="J161" s="74"/>
      <c r="K161" s="74"/>
    </row>
    <row r="162" ht="14.25" customHeight="1">
      <c r="D162" s="74"/>
      <c r="E162" s="74"/>
      <c r="F162" s="74"/>
      <c r="I162" s="74"/>
      <c r="J162" s="74"/>
      <c r="K162" s="74"/>
    </row>
    <row r="163" ht="14.25" customHeight="1">
      <c r="D163" s="74"/>
      <c r="E163" s="74"/>
      <c r="F163" s="74"/>
      <c r="I163" s="74"/>
      <c r="J163" s="74"/>
      <c r="K163" s="74"/>
    </row>
    <row r="164" ht="14.25" customHeight="1">
      <c r="D164" s="74"/>
      <c r="E164" s="74"/>
      <c r="F164" s="74"/>
      <c r="I164" s="74"/>
      <c r="J164" s="74"/>
      <c r="K164" s="74"/>
    </row>
    <row r="165" ht="14.25" customHeight="1">
      <c r="D165" s="74"/>
      <c r="E165" s="74"/>
      <c r="F165" s="74"/>
      <c r="I165" s="74"/>
      <c r="J165" s="74"/>
      <c r="K165" s="74"/>
    </row>
    <row r="166" ht="14.25" customHeight="1">
      <c r="D166" s="74"/>
      <c r="E166" s="74"/>
      <c r="F166" s="74"/>
      <c r="I166" s="74"/>
      <c r="J166" s="74"/>
      <c r="K166" s="74"/>
    </row>
    <row r="167" ht="14.25" customHeight="1">
      <c r="D167" s="74"/>
      <c r="E167" s="74"/>
      <c r="F167" s="74"/>
      <c r="I167" s="74"/>
      <c r="J167" s="74"/>
      <c r="K167" s="74"/>
    </row>
    <row r="168" ht="14.25" customHeight="1">
      <c r="D168" s="74"/>
      <c r="E168" s="74"/>
      <c r="F168" s="74"/>
      <c r="I168" s="74"/>
      <c r="J168" s="74"/>
      <c r="K168" s="74"/>
    </row>
    <row r="169" ht="14.25" customHeight="1">
      <c r="D169" s="74"/>
      <c r="E169" s="74"/>
      <c r="F169" s="74"/>
      <c r="I169" s="74"/>
      <c r="J169" s="74"/>
      <c r="K169" s="74"/>
    </row>
    <row r="170" ht="14.25" customHeight="1">
      <c r="D170" s="74"/>
      <c r="E170" s="74"/>
      <c r="F170" s="74"/>
      <c r="I170" s="74"/>
      <c r="J170" s="74"/>
      <c r="K170" s="74"/>
    </row>
    <row r="171" ht="14.25" customHeight="1">
      <c r="D171" s="74"/>
      <c r="E171" s="74"/>
      <c r="F171" s="74"/>
      <c r="I171" s="74"/>
      <c r="J171" s="74"/>
      <c r="K171" s="74"/>
    </row>
    <row r="172" ht="14.25" customHeight="1">
      <c r="D172" s="74"/>
      <c r="E172" s="74"/>
      <c r="F172" s="74"/>
      <c r="I172" s="74"/>
      <c r="J172" s="74"/>
      <c r="K172" s="74"/>
    </row>
    <row r="173" ht="14.25" customHeight="1">
      <c r="D173" s="74"/>
      <c r="E173" s="74"/>
      <c r="F173" s="74"/>
      <c r="I173" s="74"/>
      <c r="J173" s="74"/>
      <c r="K173" s="74"/>
    </row>
    <row r="174" ht="14.25" customHeight="1">
      <c r="D174" s="74"/>
      <c r="E174" s="74"/>
      <c r="F174" s="74"/>
      <c r="I174" s="74"/>
      <c r="J174" s="74"/>
      <c r="K174" s="74"/>
    </row>
    <row r="175" ht="14.25" customHeight="1">
      <c r="D175" s="74"/>
      <c r="E175" s="74"/>
      <c r="F175" s="74"/>
      <c r="I175" s="74"/>
      <c r="J175" s="74"/>
      <c r="K175" s="74"/>
    </row>
    <row r="176" ht="14.25" customHeight="1">
      <c r="D176" s="74"/>
      <c r="E176" s="74"/>
      <c r="F176" s="74"/>
      <c r="I176" s="74"/>
      <c r="J176" s="74"/>
      <c r="K176" s="74"/>
    </row>
    <row r="177" ht="14.25" customHeight="1">
      <c r="D177" s="74"/>
      <c r="E177" s="74"/>
      <c r="F177" s="74"/>
      <c r="I177" s="74"/>
      <c r="J177" s="74"/>
      <c r="K177" s="74"/>
    </row>
    <row r="178" ht="14.25" customHeight="1">
      <c r="D178" s="74"/>
      <c r="E178" s="74"/>
      <c r="F178" s="74"/>
      <c r="I178" s="74"/>
      <c r="J178" s="74"/>
      <c r="K178" s="74"/>
    </row>
    <row r="179" ht="14.25" customHeight="1">
      <c r="D179" s="74"/>
      <c r="E179" s="74"/>
      <c r="F179" s="74"/>
      <c r="I179" s="74"/>
      <c r="J179" s="74"/>
      <c r="K179" s="74"/>
    </row>
    <row r="180" ht="14.25" customHeight="1">
      <c r="D180" s="74"/>
      <c r="E180" s="74"/>
      <c r="F180" s="74"/>
      <c r="I180" s="74"/>
      <c r="J180" s="74"/>
      <c r="K180" s="74"/>
    </row>
    <row r="181" ht="14.25" customHeight="1">
      <c r="D181" s="74"/>
      <c r="E181" s="74"/>
      <c r="F181" s="74"/>
      <c r="I181" s="74"/>
      <c r="J181" s="74"/>
      <c r="K181" s="74"/>
    </row>
    <row r="182" ht="14.25" customHeight="1">
      <c r="D182" s="74"/>
      <c r="E182" s="74"/>
      <c r="F182" s="74"/>
      <c r="I182" s="74"/>
      <c r="J182" s="74"/>
      <c r="K182" s="74"/>
    </row>
    <row r="183" ht="14.25" customHeight="1">
      <c r="D183" s="74"/>
      <c r="E183" s="74"/>
      <c r="F183" s="74"/>
      <c r="I183" s="74"/>
      <c r="J183" s="74"/>
      <c r="K183" s="74"/>
    </row>
    <row r="184" ht="14.25" customHeight="1">
      <c r="D184" s="74"/>
      <c r="E184" s="74"/>
      <c r="F184" s="74"/>
      <c r="I184" s="74"/>
      <c r="J184" s="74"/>
      <c r="K184" s="74"/>
    </row>
    <row r="185" ht="14.25" customHeight="1">
      <c r="D185" s="74"/>
      <c r="E185" s="74"/>
      <c r="F185" s="74"/>
      <c r="I185" s="74"/>
      <c r="J185" s="74"/>
      <c r="K185" s="74"/>
    </row>
    <row r="186" ht="14.25" customHeight="1">
      <c r="D186" s="74"/>
      <c r="E186" s="74"/>
      <c r="F186" s="74"/>
      <c r="I186" s="74"/>
      <c r="J186" s="74"/>
      <c r="K186" s="74"/>
    </row>
    <row r="187" ht="14.25" customHeight="1">
      <c r="D187" s="74"/>
      <c r="E187" s="74"/>
      <c r="F187" s="74"/>
      <c r="I187" s="74"/>
      <c r="J187" s="74"/>
      <c r="K187" s="74"/>
    </row>
    <row r="188" ht="14.25" customHeight="1">
      <c r="D188" s="74"/>
      <c r="E188" s="74"/>
      <c r="F188" s="74"/>
      <c r="I188" s="74"/>
      <c r="J188" s="74"/>
      <c r="K188" s="74"/>
    </row>
    <row r="189" ht="14.25" customHeight="1">
      <c r="D189" s="74"/>
      <c r="E189" s="74"/>
      <c r="F189" s="74"/>
      <c r="I189" s="74"/>
      <c r="J189" s="74"/>
      <c r="K189" s="74"/>
    </row>
    <row r="190" ht="14.25" customHeight="1">
      <c r="D190" s="74"/>
      <c r="E190" s="74"/>
      <c r="F190" s="74"/>
      <c r="I190" s="74"/>
      <c r="J190" s="74"/>
      <c r="K190" s="74"/>
    </row>
    <row r="191" ht="14.25" customHeight="1">
      <c r="D191" s="74"/>
      <c r="E191" s="74"/>
      <c r="F191" s="74"/>
      <c r="I191" s="74"/>
      <c r="J191" s="74"/>
      <c r="K191" s="74"/>
    </row>
    <row r="192" ht="14.25" customHeight="1">
      <c r="D192" s="74"/>
      <c r="E192" s="74"/>
      <c r="F192" s="74"/>
      <c r="I192" s="74"/>
      <c r="J192" s="74"/>
      <c r="K192" s="74"/>
    </row>
    <row r="193" ht="14.25" customHeight="1">
      <c r="D193" s="74"/>
      <c r="E193" s="74"/>
      <c r="F193" s="74"/>
      <c r="I193" s="74"/>
      <c r="J193" s="74"/>
      <c r="K193" s="74"/>
    </row>
    <row r="194" ht="14.25" customHeight="1">
      <c r="D194" s="74"/>
      <c r="E194" s="74"/>
      <c r="F194" s="74"/>
      <c r="I194" s="74"/>
      <c r="J194" s="74"/>
      <c r="K194" s="74"/>
    </row>
    <row r="195" ht="14.25" customHeight="1">
      <c r="D195" s="74"/>
      <c r="E195" s="74"/>
      <c r="F195" s="74"/>
      <c r="I195" s="74"/>
      <c r="J195" s="74"/>
      <c r="K195" s="74"/>
    </row>
    <row r="196" ht="14.25" customHeight="1">
      <c r="D196" s="74"/>
      <c r="E196" s="74"/>
      <c r="F196" s="74"/>
      <c r="I196" s="74"/>
      <c r="J196" s="74"/>
      <c r="K196" s="74"/>
    </row>
    <row r="197" ht="14.25" customHeight="1">
      <c r="D197" s="74"/>
      <c r="E197" s="74"/>
      <c r="F197" s="74"/>
      <c r="I197" s="74"/>
      <c r="J197" s="74"/>
      <c r="K197" s="74"/>
    </row>
    <row r="198" ht="14.25" customHeight="1">
      <c r="D198" s="74"/>
      <c r="E198" s="74"/>
      <c r="F198" s="74"/>
      <c r="I198" s="74"/>
      <c r="J198" s="74"/>
      <c r="K198" s="74"/>
    </row>
    <row r="199" ht="14.25" customHeight="1">
      <c r="D199" s="74"/>
      <c r="E199" s="74"/>
      <c r="F199" s="74"/>
      <c r="I199" s="74"/>
      <c r="J199" s="74"/>
      <c r="K199" s="74"/>
    </row>
    <row r="200" ht="14.25" customHeight="1">
      <c r="D200" s="74"/>
      <c r="E200" s="74"/>
      <c r="F200" s="74"/>
      <c r="I200" s="74"/>
      <c r="J200" s="74"/>
      <c r="K200" s="74"/>
    </row>
    <row r="201" ht="14.25" customHeight="1">
      <c r="D201" s="74"/>
      <c r="E201" s="74"/>
      <c r="F201" s="74"/>
      <c r="I201" s="74"/>
      <c r="J201" s="74"/>
      <c r="K201" s="74"/>
    </row>
    <row r="202" ht="14.25" customHeight="1">
      <c r="D202" s="74"/>
      <c r="E202" s="74"/>
      <c r="F202" s="74"/>
      <c r="I202" s="74"/>
      <c r="J202" s="74"/>
      <c r="K202" s="74"/>
    </row>
    <row r="203" ht="14.25" customHeight="1">
      <c r="D203" s="74"/>
      <c r="E203" s="74"/>
      <c r="F203" s="74"/>
      <c r="I203" s="74"/>
      <c r="J203" s="74"/>
      <c r="K203" s="74"/>
    </row>
    <row r="204" ht="14.25" customHeight="1">
      <c r="D204" s="74"/>
      <c r="E204" s="74"/>
      <c r="F204" s="74"/>
      <c r="I204" s="74"/>
      <c r="J204" s="74"/>
      <c r="K204" s="74"/>
    </row>
    <row r="205" ht="14.25" customHeight="1">
      <c r="D205" s="74"/>
      <c r="E205" s="74"/>
      <c r="F205" s="74"/>
      <c r="I205" s="74"/>
      <c r="J205" s="74"/>
      <c r="K205" s="74"/>
    </row>
    <row r="206" ht="14.25" customHeight="1">
      <c r="D206" s="74"/>
      <c r="E206" s="74"/>
      <c r="F206" s="74"/>
      <c r="I206" s="74"/>
      <c r="J206" s="74"/>
      <c r="K206" s="74"/>
    </row>
    <row r="207" ht="14.25" customHeight="1">
      <c r="D207" s="74"/>
      <c r="E207" s="74"/>
      <c r="F207" s="74"/>
      <c r="I207" s="74"/>
      <c r="J207" s="74"/>
      <c r="K207" s="74"/>
    </row>
    <row r="208" ht="14.25" customHeight="1">
      <c r="D208" s="74"/>
      <c r="E208" s="74"/>
      <c r="F208" s="74"/>
      <c r="I208" s="74"/>
      <c r="J208" s="74"/>
      <c r="K208" s="74"/>
    </row>
    <row r="209" ht="14.25" customHeight="1">
      <c r="D209" s="74"/>
      <c r="E209" s="74"/>
      <c r="F209" s="74"/>
      <c r="I209" s="74"/>
      <c r="J209" s="74"/>
      <c r="K209" s="74"/>
    </row>
    <row r="210" ht="14.25" customHeight="1">
      <c r="D210" s="74"/>
      <c r="E210" s="74"/>
      <c r="F210" s="74"/>
      <c r="I210" s="74"/>
      <c r="J210" s="74"/>
      <c r="K210" s="74"/>
    </row>
    <row r="211" ht="14.25" customHeight="1">
      <c r="D211" s="74"/>
      <c r="E211" s="74"/>
      <c r="F211" s="74"/>
      <c r="I211" s="74"/>
      <c r="J211" s="74"/>
      <c r="K211" s="74"/>
    </row>
    <row r="212" ht="14.25" customHeight="1">
      <c r="D212" s="74"/>
      <c r="E212" s="74"/>
      <c r="F212" s="74"/>
      <c r="I212" s="74"/>
      <c r="J212" s="74"/>
      <c r="K212" s="74"/>
    </row>
    <row r="213" ht="14.25" customHeight="1">
      <c r="D213" s="74"/>
      <c r="E213" s="74"/>
      <c r="F213" s="74"/>
      <c r="I213" s="74"/>
      <c r="J213" s="74"/>
      <c r="K213" s="74"/>
    </row>
    <row r="214" ht="14.25" customHeight="1">
      <c r="D214" s="74"/>
      <c r="E214" s="74"/>
      <c r="F214" s="74"/>
      <c r="I214" s="74"/>
      <c r="J214" s="74"/>
      <c r="K214" s="74"/>
    </row>
    <row r="215" ht="14.25" customHeight="1">
      <c r="D215" s="74"/>
      <c r="E215" s="74"/>
      <c r="F215" s="74"/>
      <c r="I215" s="74"/>
      <c r="J215" s="74"/>
      <c r="K215" s="74"/>
    </row>
    <row r="216" ht="14.25" customHeight="1">
      <c r="D216" s="74"/>
      <c r="E216" s="74"/>
      <c r="F216" s="74"/>
      <c r="I216" s="74"/>
      <c r="J216" s="74"/>
      <c r="K216" s="74"/>
    </row>
    <row r="217" ht="14.25" customHeight="1">
      <c r="D217" s="74"/>
      <c r="E217" s="74"/>
      <c r="F217" s="74"/>
      <c r="I217" s="74"/>
      <c r="J217" s="74"/>
      <c r="K217" s="74"/>
    </row>
    <row r="218" ht="14.25" customHeight="1">
      <c r="D218" s="74"/>
      <c r="E218" s="74"/>
      <c r="F218" s="74"/>
      <c r="I218" s="74"/>
      <c r="J218" s="74"/>
      <c r="K218" s="74"/>
    </row>
    <row r="219" ht="14.25" customHeight="1">
      <c r="D219" s="74"/>
      <c r="E219" s="74"/>
      <c r="F219" s="74"/>
      <c r="I219" s="74"/>
      <c r="J219" s="74"/>
      <c r="K219" s="74"/>
    </row>
    <row r="220" ht="14.25" customHeight="1">
      <c r="D220" s="74"/>
      <c r="E220" s="74"/>
      <c r="F220" s="74"/>
      <c r="I220" s="74"/>
      <c r="J220" s="74"/>
      <c r="K220" s="74"/>
    </row>
    <row r="221" ht="14.25" customHeight="1">
      <c r="D221" s="74"/>
      <c r="E221" s="74"/>
      <c r="F221" s="74"/>
      <c r="I221" s="74"/>
      <c r="J221" s="74"/>
      <c r="K221" s="74"/>
    </row>
    <row r="222" ht="14.25" customHeight="1">
      <c r="D222" s="74"/>
      <c r="E222" s="74"/>
      <c r="F222" s="74"/>
      <c r="I222" s="74"/>
      <c r="J222" s="74"/>
      <c r="K222" s="74"/>
    </row>
    <row r="223" ht="14.25" customHeight="1">
      <c r="D223" s="74"/>
      <c r="E223" s="74"/>
      <c r="F223" s="74"/>
      <c r="I223" s="74"/>
      <c r="J223" s="74"/>
      <c r="K223" s="74"/>
    </row>
    <row r="224" ht="14.25" customHeight="1">
      <c r="D224" s="74"/>
      <c r="E224" s="74"/>
      <c r="F224" s="74"/>
      <c r="I224" s="74"/>
      <c r="J224" s="74"/>
      <c r="K224" s="74"/>
    </row>
    <row r="225" ht="14.25" customHeight="1">
      <c r="D225" s="74"/>
      <c r="E225" s="74"/>
      <c r="F225" s="74"/>
      <c r="I225" s="74"/>
      <c r="J225" s="74"/>
      <c r="K225" s="74"/>
    </row>
    <row r="226" ht="14.25" customHeight="1">
      <c r="D226" s="74"/>
      <c r="E226" s="74"/>
      <c r="F226" s="74"/>
      <c r="I226" s="74"/>
      <c r="J226" s="74"/>
      <c r="K226" s="74"/>
    </row>
    <row r="227" ht="14.25" customHeight="1">
      <c r="D227" s="74"/>
      <c r="E227" s="74"/>
      <c r="F227" s="74"/>
      <c r="I227" s="74"/>
      <c r="J227" s="74"/>
      <c r="K227" s="74"/>
    </row>
    <row r="228" ht="14.25" customHeight="1">
      <c r="D228" s="74"/>
      <c r="E228" s="74"/>
      <c r="F228" s="74"/>
      <c r="I228" s="74"/>
      <c r="J228" s="74"/>
      <c r="K228" s="74"/>
    </row>
    <row r="229" ht="14.25" customHeight="1">
      <c r="D229" s="74"/>
      <c r="E229" s="74"/>
      <c r="F229" s="74"/>
      <c r="I229" s="74"/>
      <c r="J229" s="74"/>
      <c r="K229" s="74"/>
    </row>
    <row r="230" ht="14.25" customHeight="1">
      <c r="D230" s="74"/>
      <c r="E230" s="74"/>
      <c r="F230" s="74"/>
      <c r="I230" s="74"/>
      <c r="J230" s="74"/>
      <c r="K230" s="74"/>
    </row>
    <row r="231" ht="14.25" customHeight="1">
      <c r="D231" s="74"/>
      <c r="E231" s="74"/>
      <c r="F231" s="74"/>
      <c r="I231" s="74"/>
      <c r="J231" s="74"/>
      <c r="K231" s="74"/>
    </row>
    <row r="232" ht="14.25" customHeight="1">
      <c r="D232" s="74"/>
      <c r="E232" s="74"/>
      <c r="F232" s="74"/>
      <c r="I232" s="74"/>
      <c r="J232" s="74"/>
      <c r="K232" s="74"/>
    </row>
    <row r="233" ht="14.25" customHeight="1">
      <c r="D233" s="74"/>
      <c r="E233" s="74"/>
      <c r="F233" s="74"/>
      <c r="I233" s="74"/>
      <c r="J233" s="74"/>
      <c r="K233" s="74"/>
    </row>
    <row r="234" ht="14.25" customHeight="1">
      <c r="D234" s="74"/>
      <c r="E234" s="74"/>
      <c r="F234" s="74"/>
      <c r="I234" s="74"/>
      <c r="J234" s="74"/>
      <c r="K234" s="74"/>
    </row>
    <row r="235" ht="14.25" customHeight="1">
      <c r="D235" s="74"/>
      <c r="E235" s="74"/>
      <c r="F235" s="74"/>
      <c r="I235" s="74"/>
      <c r="J235" s="74"/>
      <c r="K235" s="74"/>
    </row>
    <row r="236" ht="14.25" customHeight="1">
      <c r="D236" s="74"/>
      <c r="E236" s="74"/>
      <c r="F236" s="74"/>
      <c r="I236" s="74"/>
      <c r="J236" s="74"/>
      <c r="K236" s="74"/>
    </row>
    <row r="237" ht="14.25" customHeight="1">
      <c r="D237" s="74"/>
      <c r="E237" s="74"/>
      <c r="F237" s="74"/>
      <c r="I237" s="74"/>
      <c r="J237" s="74"/>
      <c r="K237" s="74"/>
    </row>
    <row r="238" ht="14.25" customHeight="1">
      <c r="D238" s="74"/>
      <c r="E238" s="74"/>
      <c r="F238" s="74"/>
      <c r="I238" s="74"/>
      <c r="J238" s="74"/>
      <c r="K238" s="74"/>
    </row>
    <row r="239" ht="14.25" customHeight="1">
      <c r="D239" s="74"/>
      <c r="E239" s="74"/>
      <c r="F239" s="74"/>
      <c r="I239" s="74"/>
      <c r="J239" s="74"/>
      <c r="K239" s="74"/>
    </row>
    <row r="240" ht="14.25" customHeight="1">
      <c r="D240" s="74"/>
      <c r="E240" s="74"/>
      <c r="F240" s="74"/>
      <c r="I240" s="74"/>
      <c r="J240" s="74"/>
      <c r="K240" s="74"/>
    </row>
    <row r="241" ht="14.25" customHeight="1">
      <c r="D241" s="74"/>
      <c r="E241" s="74"/>
      <c r="F241" s="74"/>
      <c r="I241" s="74"/>
      <c r="J241" s="74"/>
      <c r="K241" s="74"/>
    </row>
    <row r="242" ht="14.25" customHeight="1">
      <c r="D242" s="74"/>
      <c r="E242" s="74"/>
      <c r="F242" s="74"/>
      <c r="I242" s="74"/>
      <c r="J242" s="74"/>
      <c r="K242" s="74"/>
    </row>
    <row r="243" ht="14.25" customHeight="1">
      <c r="D243" s="74"/>
      <c r="E243" s="74"/>
      <c r="F243" s="74"/>
      <c r="I243" s="74"/>
      <c r="J243" s="74"/>
      <c r="K243" s="74"/>
    </row>
    <row r="244" ht="14.25" customHeight="1">
      <c r="D244" s="74"/>
      <c r="E244" s="74"/>
      <c r="F244" s="74"/>
      <c r="I244" s="74"/>
      <c r="J244" s="74"/>
      <c r="K244" s="74"/>
    </row>
    <row r="245" ht="14.25" customHeight="1">
      <c r="D245" s="74"/>
      <c r="E245" s="74"/>
      <c r="F245" s="74"/>
      <c r="I245" s="74"/>
      <c r="J245" s="74"/>
      <c r="K245" s="74"/>
    </row>
    <row r="246" ht="14.25" customHeight="1">
      <c r="D246" s="74"/>
      <c r="E246" s="74"/>
      <c r="F246" s="74"/>
      <c r="I246" s="74"/>
      <c r="J246" s="74"/>
      <c r="K246" s="74"/>
    </row>
    <row r="247" ht="14.25" customHeight="1">
      <c r="D247" s="74"/>
      <c r="E247" s="74"/>
      <c r="F247" s="74"/>
      <c r="I247" s="74"/>
      <c r="J247" s="74"/>
      <c r="K247" s="74"/>
    </row>
    <row r="248" ht="14.25" customHeight="1">
      <c r="D248" s="74"/>
      <c r="E248" s="74"/>
      <c r="F248" s="74"/>
      <c r="I248" s="74"/>
      <c r="J248" s="74"/>
      <c r="K248" s="74"/>
    </row>
    <row r="249" ht="14.25" customHeight="1">
      <c r="D249" s="74"/>
      <c r="E249" s="74"/>
      <c r="F249" s="74"/>
      <c r="I249" s="74"/>
      <c r="J249" s="74"/>
      <c r="K249" s="74"/>
    </row>
    <row r="250" ht="14.25" customHeight="1">
      <c r="D250" s="74"/>
      <c r="E250" s="74"/>
      <c r="F250" s="74"/>
      <c r="I250" s="74"/>
      <c r="J250" s="74"/>
      <c r="K250" s="74"/>
    </row>
    <row r="251" ht="14.25" customHeight="1">
      <c r="D251" s="74"/>
      <c r="E251" s="74"/>
      <c r="F251" s="74"/>
      <c r="I251" s="74"/>
      <c r="J251" s="74"/>
      <c r="K251" s="74"/>
    </row>
    <row r="252" ht="14.25" customHeight="1">
      <c r="D252" s="74"/>
      <c r="E252" s="74"/>
      <c r="F252" s="74"/>
      <c r="I252" s="74"/>
      <c r="J252" s="74"/>
      <c r="K252" s="74"/>
    </row>
    <row r="253" ht="14.25" customHeight="1">
      <c r="D253" s="74"/>
      <c r="E253" s="74"/>
      <c r="F253" s="74"/>
      <c r="I253" s="74"/>
      <c r="J253" s="74"/>
      <c r="K253" s="74"/>
    </row>
    <row r="254" ht="14.25" customHeight="1">
      <c r="D254" s="74"/>
      <c r="E254" s="74"/>
      <c r="F254" s="74"/>
      <c r="I254" s="74"/>
      <c r="J254" s="74"/>
      <c r="K254" s="74"/>
    </row>
    <row r="255" ht="14.25" customHeight="1">
      <c r="D255" s="74"/>
      <c r="E255" s="74"/>
      <c r="F255" s="74"/>
      <c r="I255" s="74"/>
      <c r="J255" s="74"/>
      <c r="K255" s="74"/>
    </row>
    <row r="256" ht="14.25" customHeight="1">
      <c r="D256" s="74"/>
      <c r="E256" s="74"/>
      <c r="F256" s="74"/>
      <c r="I256" s="74"/>
      <c r="J256" s="74"/>
      <c r="K256" s="74"/>
    </row>
    <row r="257" ht="14.25" customHeight="1">
      <c r="D257" s="74"/>
      <c r="E257" s="74"/>
      <c r="F257" s="74"/>
      <c r="I257" s="74"/>
      <c r="J257" s="74"/>
      <c r="K257" s="74"/>
    </row>
    <row r="258" ht="14.25" customHeight="1">
      <c r="D258" s="74"/>
      <c r="E258" s="74"/>
      <c r="F258" s="74"/>
      <c r="I258" s="74"/>
      <c r="J258" s="74"/>
      <c r="K258" s="74"/>
    </row>
    <row r="259" ht="14.25" customHeight="1">
      <c r="D259" s="74"/>
      <c r="E259" s="74"/>
      <c r="F259" s="74"/>
      <c r="I259" s="74"/>
      <c r="J259" s="74"/>
      <c r="K259" s="74"/>
    </row>
    <row r="260" ht="14.25" customHeight="1">
      <c r="D260" s="74"/>
      <c r="E260" s="74"/>
      <c r="F260" s="74"/>
      <c r="I260" s="74"/>
      <c r="J260" s="74"/>
      <c r="K260" s="74"/>
    </row>
    <row r="261" ht="14.25" customHeight="1">
      <c r="D261" s="74"/>
      <c r="E261" s="74"/>
      <c r="F261" s="74"/>
      <c r="I261" s="74"/>
      <c r="J261" s="74"/>
      <c r="K261" s="74"/>
    </row>
    <row r="262" ht="14.25" customHeight="1">
      <c r="D262" s="74"/>
      <c r="E262" s="74"/>
      <c r="F262" s="74"/>
      <c r="I262" s="74"/>
      <c r="J262" s="74"/>
      <c r="K262" s="74"/>
    </row>
    <row r="263" ht="14.25" customHeight="1">
      <c r="D263" s="74"/>
      <c r="E263" s="74"/>
      <c r="F263" s="74"/>
      <c r="I263" s="74"/>
      <c r="J263" s="74"/>
      <c r="K263" s="74"/>
    </row>
    <row r="264" ht="14.25" customHeight="1">
      <c r="D264" s="74"/>
      <c r="E264" s="74"/>
      <c r="F264" s="74"/>
      <c r="I264" s="74"/>
      <c r="J264" s="74"/>
      <c r="K264" s="74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4:K64">
    <cfRule type="cellIs" dxfId="0" priority="1" operator="equal">
      <formula>0</formula>
    </cfRule>
  </conditionalFormatting>
  <conditionalFormatting sqref="D4:F64">
    <cfRule type="cellIs" dxfId="0" priority="2" operator="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57"/>
    <col customWidth="1" min="3" max="3" width="27.86"/>
    <col customWidth="1" min="4" max="4" width="8.57"/>
    <col customWidth="1" min="5" max="5" width="50.0"/>
    <col customWidth="1" min="6" max="6" width="23.14"/>
  </cols>
  <sheetData>
    <row r="1" ht="14.25" customHeight="1"/>
    <row r="2" ht="33.75" customHeight="1"/>
    <row r="3" ht="30.0" customHeight="1"/>
    <row r="4" ht="28.5" customHeight="1">
      <c r="D4" s="180" t="s">
        <v>187</v>
      </c>
      <c r="E4" s="6"/>
      <c r="F4" s="7"/>
    </row>
    <row r="5" ht="33.0" customHeight="1">
      <c r="D5" s="181" t="s">
        <v>141</v>
      </c>
      <c r="E5" s="83"/>
      <c r="F5" s="182" t="str">
        <f>' JVC'!E131+Tikom!E130+Selicon!E131+' JVC'!F131+' JVC'!G131+' JVC'!H131+' JVC'!I131+' JVC'!J131+' JVC'!K131+Tikom!F130+Tikom!G130+Tikom!H130+Tikom!I130+Tikom!J130+Tikom!K130+Selicon!F131+Selicon!G131+Selicon!H131+Selicon!I131+Selicon!J131+Selicon!K131</f>
        <v>#REF!</v>
      </c>
    </row>
    <row r="6" ht="33.75" customHeight="1">
      <c r="D6" s="183" t="s">
        <v>142</v>
      </c>
      <c r="E6" s="90"/>
      <c r="F6" s="184" t="str">
        <f>' JVC'!E132+' JVC'!F132+' JVC'!G132+' JVC'!H132+' JVC'!I132+' JVC'!J132+' JVC'!K132+Tikom!E131+Tikom!F131+Tikom!G131+Tikom!H131+Tikom!I131+Tikom!J131+Tikom!K131+Selicon!E132+Selicon!F132+Selicon!G132+Selicon!H132+Selicon!I132+Selicon!J132+Selicon!K132</f>
        <v>#REF!</v>
      </c>
    </row>
    <row r="7" ht="33.0" customHeight="1">
      <c r="D7" s="183" t="s">
        <v>143</v>
      </c>
      <c r="E7" s="90"/>
      <c r="F7" s="184">
        <v>1400.0</v>
      </c>
    </row>
    <row r="8" ht="32.25" customHeight="1">
      <c r="D8" s="183" t="s">
        <v>144</v>
      </c>
      <c r="E8" s="90"/>
      <c r="F8" s="185" t="str">
        <f>' JVC'!E134+' JVC'!F134+' JVC'!G134+' JVC'!H134+' JVC'!I134+' JVC'!J134+' JVC'!K134+Tikom!E133+Tikom!F133+Tikom!G133+Tikom!H133+Tikom!I133+Tikom!J133+Tikom!K133+Selicon!E134+Selicon!F134+Selicon!G134+Selicon!H134+Selicon!I134+Selicon!J134+Selicon!K134</f>
        <v>#REF!</v>
      </c>
    </row>
    <row r="9" ht="33.0" customHeight="1">
      <c r="D9" s="186" t="s">
        <v>188</v>
      </c>
      <c r="E9" s="90"/>
      <c r="F9" s="184" t="str">
        <f>F6-F5</f>
        <v>#REF!</v>
      </c>
    </row>
    <row r="10" ht="34.5" customHeight="1">
      <c r="D10" s="187" t="s">
        <v>189</v>
      </c>
      <c r="E10" s="188"/>
      <c r="F10" s="185" t="str">
        <f>F8-F7</f>
        <v>#REF!</v>
      </c>
    </row>
    <row r="11" ht="76.5" customHeight="1">
      <c r="D11" s="189" t="s">
        <v>190</v>
      </c>
      <c r="E11" s="77"/>
      <c r="F11" s="190" t="str">
        <f>F9-F10</f>
        <v>#REF!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D4:F4"/>
    <mergeCell ref="D5:E5"/>
    <mergeCell ref="D6:E6"/>
    <mergeCell ref="D7:E7"/>
    <mergeCell ref="D8:E8"/>
    <mergeCell ref="D9:E9"/>
    <mergeCell ref="D10:E10"/>
    <mergeCell ref="D11:E11"/>
  </mergeCells>
  <printOptions/>
  <pageMargins bottom="0.75" footer="0.0" header="0.0" left="0.7" right="0.7" top="0.75"/>
  <pageSetup orientation="landscape"/>
  <drawing r:id="rId1"/>
</worksheet>
</file>